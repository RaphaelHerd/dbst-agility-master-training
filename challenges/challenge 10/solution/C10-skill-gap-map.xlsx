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schule\Projects\Fastlane\DB Systel\agility master\challenges\challenge 10\solution\"/>
    </mc:Choice>
  </mc:AlternateContent>
  <xr:revisionPtr revIDLastSave="0" documentId="8_{0568F2F3-3883-4B57-9592-B0BF4758FEE4}" xr6:coauthVersionLast="36" xr6:coauthVersionMax="36" xr10:uidLastSave="{00000000-0000-0000-0000-000000000000}"/>
  <bookViews>
    <workbookView xWindow="0" yWindow="0" windowWidth="28800" windowHeight="16245" activeTab="1" xr2:uid="{10EAE5AA-F818-4291-8526-31596732BBD6}"/>
  </bookViews>
  <sheets>
    <sheet name="Skill matrix" sheetId="1" r:id="rId1"/>
    <sheet name="Gap ma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2" l="1"/>
  <c r="I9" i="2"/>
  <c r="H9" i="2"/>
  <c r="F9" i="2"/>
  <c r="E9" i="2"/>
  <c r="D9" i="2"/>
  <c r="C9" i="2"/>
  <c r="B9" i="2"/>
  <c r="A9" i="2"/>
  <c r="J8" i="2"/>
  <c r="I8" i="2"/>
  <c r="H8" i="2"/>
  <c r="F8" i="2"/>
  <c r="E8" i="2"/>
  <c r="D8" i="2"/>
  <c r="C8" i="2"/>
  <c r="B8" i="2"/>
  <c r="A8" i="2"/>
  <c r="J7" i="2"/>
  <c r="I7" i="2"/>
  <c r="H7" i="2"/>
  <c r="F7" i="2"/>
  <c r="E7" i="2"/>
  <c r="D7" i="2"/>
  <c r="C7" i="2"/>
  <c r="B7" i="2"/>
  <c r="A7" i="2"/>
  <c r="J6" i="2"/>
  <c r="I6" i="2"/>
  <c r="H6" i="2"/>
  <c r="F6" i="2"/>
  <c r="E6" i="2"/>
  <c r="D6" i="2"/>
  <c r="C6" i="2"/>
  <c r="B6" i="2"/>
  <c r="A6" i="2"/>
  <c r="J5" i="2"/>
  <c r="I5" i="2"/>
  <c r="H5" i="2"/>
  <c r="F5" i="2"/>
  <c r="E5" i="2"/>
  <c r="D5" i="2"/>
  <c r="C5" i="2"/>
  <c r="B5" i="2"/>
  <c r="A5" i="2"/>
  <c r="J4" i="2"/>
  <c r="I4" i="2"/>
  <c r="H4" i="2"/>
  <c r="F4" i="2"/>
  <c r="E4" i="2"/>
  <c r="D4" i="2"/>
  <c r="C4" i="2"/>
  <c r="B4" i="2"/>
  <c r="A4" i="2"/>
  <c r="J3" i="2"/>
  <c r="I3" i="2"/>
  <c r="H3" i="2"/>
  <c r="F3" i="2"/>
  <c r="E3" i="2"/>
  <c r="D3" i="2"/>
  <c r="C3" i="2"/>
  <c r="B3" i="2"/>
  <c r="A3" i="2"/>
  <c r="J2" i="2"/>
  <c r="I2" i="2"/>
  <c r="H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<sst xmlns="http://schemas.openxmlformats.org/spreadsheetml/2006/main" count="26" uniqueCount="25">
  <si>
    <t>Skill</t>
  </si>
  <si>
    <t>Member A</t>
  </si>
  <si>
    <t>Member B</t>
  </si>
  <si>
    <t>Member C</t>
  </si>
  <si>
    <t>Member D</t>
  </si>
  <si>
    <t>Member E</t>
  </si>
  <si>
    <t>Member F</t>
  </si>
  <si>
    <t>Stream processing</t>
  </si>
  <si>
    <t>Backend development</t>
  </si>
  <si>
    <t>Data modelling and mapping</t>
  </si>
  <si>
    <t>Test automation</t>
  </si>
  <si>
    <t>Load and performance testing</t>
  </si>
  <si>
    <t>Observability and alerting</t>
  </si>
  <si>
    <t>Cloud and Kubernetes</t>
  </si>
  <si>
    <t>Rail data domain</t>
  </si>
  <si>
    <t>People at level 0</t>
  </si>
  <si>
    <t>Level 1</t>
  </si>
  <si>
    <t>Level 2</t>
  </si>
  <si>
    <t>Level 3</t>
  </si>
  <si>
    <t>At level 2 or higher</t>
  </si>
  <si>
    <t>Needed</t>
  </si>
  <si>
    <t>Gap</t>
  </si>
  <si>
    <t>Someone can teach</t>
  </si>
  <si>
    <t>Status</t>
  </si>
  <si>
    <t>Team level only: this sheet counts people per skill and level. It never shows who is where.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</si>
</sst>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1">
    <dxf>
      <font>
        <b/>
        <i val="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C28E-8291-450F-AAE1-11EF2D1E4BC8}">
  <dimension ref="A1:G9"/>
  <sheetViews>
    <sheetView workbookViewId="0"/>
  </sheetViews>
  <sheetFormatPr baseColWidth="10" defaultRowHeight="15" x14ac:dyDescent="0.25"/>
  <cols>
    <col min="1" max="1" width="27.7109375" bestFit="1" customWidth="1"/>
    <col min="2" max="2" width="10.42578125" bestFit="1" customWidth="1"/>
    <col min="3" max="4" width="10.28515625" bestFit="1" customWidth="1"/>
    <col min="5" max="5" width="10.42578125" bestFit="1" customWidth="1"/>
    <col min="6" max="7" width="10.140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</v>
      </c>
      <c r="C2">
        <v>2</v>
      </c>
      <c r="D2">
        <v>2</v>
      </c>
      <c r="E2">
        <v>1</v>
      </c>
      <c r="F2">
        <v>0</v>
      </c>
      <c r="G2">
        <v>1</v>
      </c>
    </row>
    <row r="3" spans="1:7" x14ac:dyDescent="0.25">
      <c r="A3" t="s">
        <v>8</v>
      </c>
      <c r="B3">
        <v>3</v>
      </c>
      <c r="C3">
        <v>2</v>
      </c>
      <c r="D3">
        <v>1</v>
      </c>
      <c r="E3">
        <v>1</v>
      </c>
      <c r="F3">
        <v>1</v>
      </c>
      <c r="G3">
        <v>1</v>
      </c>
    </row>
    <row r="4" spans="1:7" x14ac:dyDescent="0.25">
      <c r="A4" t="s">
        <v>9</v>
      </c>
      <c r="B4">
        <v>1</v>
      </c>
      <c r="C4">
        <v>1</v>
      </c>
      <c r="D4">
        <v>3</v>
      </c>
      <c r="E4">
        <v>2</v>
      </c>
      <c r="F4">
        <v>0</v>
      </c>
      <c r="G4">
        <v>0</v>
      </c>
    </row>
    <row r="5" spans="1:7" x14ac:dyDescent="0.25">
      <c r="A5" t="s">
        <v>10</v>
      </c>
      <c r="B5">
        <v>2</v>
      </c>
      <c r="C5">
        <v>1</v>
      </c>
      <c r="D5">
        <v>1</v>
      </c>
      <c r="E5">
        <v>1</v>
      </c>
      <c r="F5">
        <v>3</v>
      </c>
      <c r="G5">
        <v>1</v>
      </c>
    </row>
    <row r="6" spans="1:7" x14ac:dyDescent="0.25">
      <c r="A6" t="s">
        <v>11</v>
      </c>
      <c r="B6">
        <v>1</v>
      </c>
      <c r="C6">
        <v>0</v>
      </c>
      <c r="D6">
        <v>1</v>
      </c>
      <c r="E6">
        <v>0</v>
      </c>
      <c r="F6">
        <v>1</v>
      </c>
      <c r="G6">
        <v>1</v>
      </c>
    </row>
    <row r="7" spans="1:7" x14ac:dyDescent="0.25">
      <c r="A7" t="s">
        <v>12</v>
      </c>
      <c r="B7">
        <v>1</v>
      </c>
      <c r="C7">
        <v>0</v>
      </c>
      <c r="D7">
        <v>0</v>
      </c>
      <c r="E7">
        <v>0</v>
      </c>
      <c r="F7">
        <v>1</v>
      </c>
      <c r="G7">
        <v>2</v>
      </c>
    </row>
    <row r="8" spans="1:7" x14ac:dyDescent="0.25">
      <c r="A8" t="s">
        <v>13</v>
      </c>
      <c r="B8">
        <v>1</v>
      </c>
      <c r="C8">
        <v>1</v>
      </c>
      <c r="D8">
        <v>0</v>
      </c>
      <c r="E8">
        <v>0</v>
      </c>
      <c r="F8">
        <v>0</v>
      </c>
      <c r="G8">
        <v>3</v>
      </c>
    </row>
    <row r="9" spans="1:7" x14ac:dyDescent="0.25">
      <c r="A9" t="s">
        <v>14</v>
      </c>
      <c r="B9">
        <v>2</v>
      </c>
      <c r="C9">
        <v>1</v>
      </c>
      <c r="D9">
        <v>2</v>
      </c>
      <c r="E9">
        <v>2</v>
      </c>
      <c r="F9">
        <v>1</v>
      </c>
      <c r="G9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0C3F-EECA-41B8-AE3B-B5A5E776BBE7}">
  <dimension ref="A1:J11"/>
  <sheetViews>
    <sheetView tabSelected="1" workbookViewId="0"/>
  </sheetViews>
  <sheetFormatPr baseColWidth="10" defaultRowHeight="15" x14ac:dyDescent="0.25"/>
  <cols>
    <col min="1" max="1" width="82.28515625" bestFit="1" customWidth="1"/>
    <col min="2" max="2" width="15.7109375" bestFit="1" customWidth="1"/>
    <col min="3" max="5" width="7.140625" bestFit="1" customWidth="1"/>
    <col min="6" max="6" width="17.85546875" bestFit="1" customWidth="1"/>
    <col min="7" max="7" width="8.140625" bestFit="1" customWidth="1"/>
    <col min="8" max="8" width="4.5703125" bestFit="1" customWidth="1"/>
    <col min="9" max="9" width="18.28515625" bestFit="1" customWidth="1"/>
    <col min="10" max="10" width="6.42578125" bestFit="1" customWidth="1"/>
  </cols>
  <sheetData>
    <row r="1" spans="1:10" s="1" customFormat="1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5">
      <c r="A2" t="str">
        <f>'Skill matrix'!A2</f>
        <v>Stream processing</v>
      </c>
      <c r="B2">
        <f>COUNTIF('Skill matrix'!$B2:$G2,0)</f>
        <v>1</v>
      </c>
      <c r="C2">
        <f>COUNTIF('Skill matrix'!$B2:$G2,1)</f>
        <v>2</v>
      </c>
      <c r="D2">
        <f>COUNTIF('Skill matrix'!$B2:$G2,2)</f>
        <v>2</v>
      </c>
      <c r="E2">
        <f>COUNTIF('Skill matrix'!$B2:$G2,3)</f>
        <v>1</v>
      </c>
      <c r="F2">
        <f>COUNTIF('Skill matrix'!$B2:$G2,"&gt;=2")</f>
        <v>3</v>
      </c>
      <c r="G2">
        <v>3</v>
      </c>
      <c r="H2">
        <f>MAX(0,G2-F2)</f>
        <v>0</v>
      </c>
      <c r="I2" t="str">
        <f>IF(E2&gt;0,"yes","no")</f>
        <v>yes</v>
      </c>
      <c r="J2" t="str">
        <f>IF(H2&gt;0,"gap",IF(F2=1,"single person","ok"))</f>
        <v>ok</v>
      </c>
    </row>
    <row r="3" spans="1:10" x14ac:dyDescent="0.25">
      <c r="A3" t="str">
        <f>'Skill matrix'!A3</f>
        <v>Backend development</v>
      </c>
      <c r="B3">
        <f>COUNTIF('Skill matrix'!$B3:$G3,0)</f>
        <v>0</v>
      </c>
      <c r="C3">
        <f>COUNTIF('Skill matrix'!$B3:$G3,1)</f>
        <v>4</v>
      </c>
      <c r="D3">
        <f>COUNTIF('Skill matrix'!$B3:$G3,2)</f>
        <v>1</v>
      </c>
      <c r="E3">
        <f>COUNTIF('Skill matrix'!$B3:$G3,3)</f>
        <v>1</v>
      </c>
      <c r="F3">
        <f>COUNTIF('Skill matrix'!$B3:$G3,"&gt;=2")</f>
        <v>2</v>
      </c>
      <c r="G3">
        <v>2</v>
      </c>
      <c r="H3">
        <f>MAX(0,G3-F3)</f>
        <v>0</v>
      </c>
      <c r="I3" t="str">
        <f>IF(E3&gt;0,"yes","no")</f>
        <v>yes</v>
      </c>
      <c r="J3" t="str">
        <f>IF(H3&gt;0,"gap",IF(F3=1,"single person","ok"))</f>
        <v>ok</v>
      </c>
    </row>
    <row r="4" spans="1:10" x14ac:dyDescent="0.25">
      <c r="A4" t="str">
        <f>'Skill matrix'!A4</f>
        <v>Data modelling and mapping</v>
      </c>
      <c r="B4">
        <f>COUNTIF('Skill matrix'!$B4:$G4,0)</f>
        <v>2</v>
      </c>
      <c r="C4">
        <f>COUNTIF('Skill matrix'!$B4:$G4,1)</f>
        <v>2</v>
      </c>
      <c r="D4">
        <f>COUNTIF('Skill matrix'!$B4:$G4,2)</f>
        <v>1</v>
      </c>
      <c r="E4">
        <f>COUNTIF('Skill matrix'!$B4:$G4,3)</f>
        <v>1</v>
      </c>
      <c r="F4">
        <f>COUNTIF('Skill matrix'!$B4:$G4,"&gt;=2")</f>
        <v>2</v>
      </c>
      <c r="G4">
        <v>2</v>
      </c>
      <c r="H4">
        <f>MAX(0,G4-F4)</f>
        <v>0</v>
      </c>
      <c r="I4" t="str">
        <f>IF(E4&gt;0,"yes","no")</f>
        <v>yes</v>
      </c>
      <c r="J4" t="str">
        <f>IF(H4&gt;0,"gap",IF(F4=1,"single person","ok"))</f>
        <v>ok</v>
      </c>
    </row>
    <row r="5" spans="1:10" x14ac:dyDescent="0.25">
      <c r="A5" t="str">
        <f>'Skill matrix'!A5</f>
        <v>Test automation</v>
      </c>
      <c r="B5">
        <f>COUNTIF('Skill matrix'!$B5:$G5,0)</f>
        <v>0</v>
      </c>
      <c r="C5">
        <f>COUNTIF('Skill matrix'!$B5:$G5,1)</f>
        <v>4</v>
      </c>
      <c r="D5">
        <f>COUNTIF('Skill matrix'!$B5:$G5,2)</f>
        <v>1</v>
      </c>
      <c r="E5">
        <f>COUNTIF('Skill matrix'!$B5:$G5,3)</f>
        <v>1</v>
      </c>
      <c r="F5">
        <f>COUNTIF('Skill matrix'!$B5:$G5,"&gt;=2")</f>
        <v>2</v>
      </c>
      <c r="G5">
        <v>3</v>
      </c>
      <c r="H5">
        <f>MAX(0,G5-F5)</f>
        <v>1</v>
      </c>
      <c r="I5" t="str">
        <f>IF(E5&gt;0,"yes","no")</f>
        <v>yes</v>
      </c>
      <c r="J5" t="str">
        <f>IF(H5&gt;0,"gap",IF(F5=1,"single person","ok"))</f>
        <v>gap</v>
      </c>
    </row>
    <row r="6" spans="1:10" x14ac:dyDescent="0.25">
      <c r="A6" t="str">
        <f>'Skill matrix'!A6</f>
        <v>Load and performance testing</v>
      </c>
      <c r="B6">
        <f>COUNTIF('Skill matrix'!$B6:$G6,0)</f>
        <v>2</v>
      </c>
      <c r="C6">
        <f>COUNTIF('Skill matrix'!$B6:$G6,1)</f>
        <v>4</v>
      </c>
      <c r="D6">
        <f>COUNTIF('Skill matrix'!$B6:$G6,2)</f>
        <v>0</v>
      </c>
      <c r="E6">
        <f>COUNTIF('Skill matrix'!$B6:$G6,3)</f>
        <v>0</v>
      </c>
      <c r="F6">
        <f>COUNTIF('Skill matrix'!$B6:$G6,"&gt;=2")</f>
        <v>0</v>
      </c>
      <c r="G6">
        <v>2</v>
      </c>
      <c r="H6">
        <f>MAX(0,G6-F6)</f>
        <v>2</v>
      </c>
      <c r="I6" t="str">
        <f>IF(E6&gt;0,"yes","no")</f>
        <v>no</v>
      </c>
      <c r="J6" t="str">
        <f>IF(H6&gt;0,"gap",IF(F6=1,"single person","ok"))</f>
        <v>gap</v>
      </c>
    </row>
    <row r="7" spans="1:10" x14ac:dyDescent="0.25">
      <c r="A7" t="str">
        <f>'Skill matrix'!A7</f>
        <v>Observability and alerting</v>
      </c>
      <c r="B7">
        <f>COUNTIF('Skill matrix'!$B7:$G7,0)</f>
        <v>3</v>
      </c>
      <c r="C7">
        <f>COUNTIF('Skill matrix'!$B7:$G7,1)</f>
        <v>2</v>
      </c>
      <c r="D7">
        <f>COUNTIF('Skill matrix'!$B7:$G7,2)</f>
        <v>1</v>
      </c>
      <c r="E7">
        <f>COUNTIF('Skill matrix'!$B7:$G7,3)</f>
        <v>0</v>
      </c>
      <c r="F7">
        <f>COUNTIF('Skill matrix'!$B7:$G7,"&gt;=2")</f>
        <v>1</v>
      </c>
      <c r="G7">
        <v>2</v>
      </c>
      <c r="H7">
        <f>MAX(0,G7-F7)</f>
        <v>1</v>
      </c>
      <c r="I7" t="str">
        <f>IF(E7&gt;0,"yes","no")</f>
        <v>no</v>
      </c>
      <c r="J7" t="str">
        <f>IF(H7&gt;0,"gap",IF(F7=1,"single person","ok"))</f>
        <v>gap</v>
      </c>
    </row>
    <row r="8" spans="1:10" x14ac:dyDescent="0.25">
      <c r="A8" t="str">
        <f>'Skill matrix'!A8</f>
        <v>Cloud and Kubernetes</v>
      </c>
      <c r="B8">
        <f>COUNTIF('Skill matrix'!$B8:$G8,0)</f>
        <v>3</v>
      </c>
      <c r="C8">
        <f>COUNTIF('Skill matrix'!$B8:$G8,1)</f>
        <v>2</v>
      </c>
      <c r="D8">
        <f>COUNTIF('Skill matrix'!$B8:$G8,2)</f>
        <v>0</v>
      </c>
      <c r="E8">
        <f>COUNTIF('Skill matrix'!$B8:$G8,3)</f>
        <v>1</v>
      </c>
      <c r="F8">
        <f>COUNTIF('Skill matrix'!$B8:$G8,"&gt;=2")</f>
        <v>1</v>
      </c>
      <c r="G8">
        <v>2</v>
      </c>
      <c r="H8">
        <f>MAX(0,G8-F8)</f>
        <v>1</v>
      </c>
      <c r="I8" t="str">
        <f>IF(E8&gt;0,"yes","no")</f>
        <v>yes</v>
      </c>
      <c r="J8" t="str">
        <f>IF(H8&gt;0,"gap",IF(F8=1,"single person","ok"))</f>
        <v>gap</v>
      </c>
    </row>
    <row r="9" spans="1:10" x14ac:dyDescent="0.25">
      <c r="A9" t="str">
        <f>'Skill matrix'!A9</f>
        <v>Rail data domain</v>
      </c>
      <c r="B9">
        <f>COUNTIF('Skill matrix'!$B9:$G9,0)</f>
        <v>1</v>
      </c>
      <c r="C9">
        <f>COUNTIF('Skill matrix'!$B9:$G9,1)</f>
        <v>2</v>
      </c>
      <c r="D9">
        <f>COUNTIF('Skill matrix'!$B9:$G9,2)</f>
        <v>3</v>
      </c>
      <c r="E9">
        <f>COUNTIF('Skill matrix'!$B9:$G9,3)</f>
        <v>0</v>
      </c>
      <c r="F9">
        <f>COUNTIF('Skill matrix'!$B9:$G9,"&gt;=2")</f>
        <v>3</v>
      </c>
      <c r="G9">
        <v>2</v>
      </c>
      <c r="H9">
        <f>MAX(0,G9-F9)</f>
        <v>0</v>
      </c>
      <c r="I9" t="str">
        <f>IF(E9&gt;0,"yes","no")</f>
        <v>no</v>
      </c>
      <c r="J9" t="str">
        <f>IF(H9&gt;0,"gap",IF(F9=1,"single person","ok"))</f>
        <v>ok</v>
      </c>
    </row>
    <row r="11" spans="1:10" x14ac:dyDescent="0.25">
      <c r="A11" t="s">
        <v>24</v>
      </c>
    </row>
  </sheetData>
  <conditionalFormatting sqref="B2:E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9">
    <cfRule type="cellIs" dxfId="0" priority="2" stopIfTrue="1" operator="greater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Skill matrix</vt:lpstr>
      <vt:lpstr>Gap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Herding</dc:creator>
  <cp:lastModifiedBy>Raphael Herding</cp:lastModifiedBy>
  <dcterms:created xsi:type="dcterms:W3CDTF">2026-10-08T15:50:56Z</dcterms:created>
  <dcterms:modified xsi:type="dcterms:W3CDTF">2026-10-08T15:50:57Z</dcterms:modified>
</cp:coreProperties>
</file>