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schule\Projects\Fastlane\DB Systel\agility master\challenges\challenge 11\solution\"/>
    </mc:Choice>
  </mc:AlternateContent>
  <xr:revisionPtr revIDLastSave="0" documentId="8_{8F1BD430-35EA-4CC1-BC97-681B2DCFBFBE}" xr6:coauthVersionLast="36" xr6:coauthVersionMax="36" xr10:uidLastSave="{00000000-0000-0000-0000-000000000000}"/>
  <bookViews>
    <workbookView xWindow="0" yWindow="0" windowWidth="28800" windowHeight="16245" activeTab="1" xr2:uid="{6627E604-AB70-4114-9471-8817BCFC5AD5}"/>
  </bookViews>
  <sheets>
    <sheet name="Scores" sheetId="1" r:id="rId1"/>
    <sheet name="WSJF" sheetId="2" r:id="rId2"/>
    <sheet name="Scenario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3" l="1"/>
  <c r="E21" i="3"/>
  <c r="D21" i="3"/>
  <c r="F20" i="3"/>
  <c r="E20" i="3"/>
  <c r="D20" i="3"/>
  <c r="F19" i="3"/>
  <c r="E19" i="3"/>
  <c r="D19" i="3"/>
  <c r="B8" i="3"/>
  <c r="B3" i="3"/>
  <c r="S11" i="2"/>
  <c r="R11" i="2"/>
  <c r="Q11" i="2"/>
  <c r="P11" i="2"/>
  <c r="O11" i="2"/>
  <c r="N11" i="2"/>
  <c r="M11" i="2"/>
  <c r="L11" i="2"/>
  <c r="I11" i="2"/>
  <c r="F11" i="2"/>
  <c r="K11" i="2"/>
  <c r="H11" i="2"/>
  <c r="E11" i="2"/>
  <c r="J11" i="2"/>
  <c r="G11" i="2"/>
  <c r="D11" i="2"/>
  <c r="S10" i="2"/>
  <c r="R10" i="2"/>
  <c r="Q10" i="2"/>
  <c r="P10" i="2"/>
  <c r="O10" i="2"/>
  <c r="N10" i="2"/>
  <c r="M10" i="2"/>
  <c r="L10" i="2"/>
  <c r="I10" i="2"/>
  <c r="F10" i="2"/>
  <c r="K10" i="2"/>
  <c r="H10" i="2"/>
  <c r="E10" i="2"/>
  <c r="J10" i="2"/>
  <c r="G10" i="2"/>
  <c r="D10" i="2"/>
  <c r="S9" i="2"/>
  <c r="R9" i="2"/>
  <c r="Q9" i="2"/>
  <c r="P9" i="2"/>
  <c r="O9" i="2"/>
  <c r="N9" i="2"/>
  <c r="M9" i="2"/>
  <c r="L9" i="2"/>
  <c r="I9" i="2"/>
  <c r="F9" i="2"/>
  <c r="K9" i="2"/>
  <c r="H9" i="2"/>
  <c r="E9" i="2"/>
  <c r="J9" i="2"/>
  <c r="G9" i="2"/>
  <c r="D9" i="2"/>
  <c r="S8" i="2"/>
  <c r="R8" i="2"/>
  <c r="Q8" i="2"/>
  <c r="P8" i="2"/>
  <c r="O8" i="2"/>
  <c r="N8" i="2"/>
  <c r="M8" i="2"/>
  <c r="L8" i="2"/>
  <c r="I8" i="2"/>
  <c r="F8" i="2"/>
  <c r="K8" i="2"/>
  <c r="H8" i="2"/>
  <c r="E8" i="2"/>
  <c r="J8" i="2"/>
  <c r="G8" i="2"/>
  <c r="D8" i="2"/>
  <c r="S7" i="2"/>
  <c r="R7" i="2"/>
  <c r="Q7" i="2"/>
  <c r="P7" i="2"/>
  <c r="O7" i="2"/>
  <c r="N7" i="2"/>
  <c r="M7" i="2"/>
  <c r="L7" i="2"/>
  <c r="I7" i="2"/>
  <c r="F7" i="2"/>
  <c r="K7" i="2"/>
  <c r="H7" i="2"/>
  <c r="E7" i="2"/>
  <c r="J7" i="2"/>
  <c r="G7" i="2"/>
  <c r="D7" i="2"/>
  <c r="S6" i="2"/>
  <c r="R6" i="2"/>
  <c r="Q6" i="2"/>
  <c r="P6" i="2"/>
  <c r="O6" i="2"/>
  <c r="N6" i="2"/>
  <c r="M6" i="2"/>
  <c r="L6" i="2"/>
  <c r="I6" i="2"/>
  <c r="F6" i="2"/>
  <c r="K6" i="2"/>
  <c r="H6" i="2"/>
  <c r="E6" i="2"/>
  <c r="J6" i="2"/>
  <c r="G6" i="2"/>
  <c r="D6" i="2"/>
  <c r="S5" i="2"/>
  <c r="R5" i="2"/>
  <c r="Q5" i="2"/>
  <c r="P5" i="2"/>
  <c r="O5" i="2"/>
  <c r="N5" i="2"/>
  <c r="M5" i="2"/>
  <c r="L5" i="2"/>
  <c r="I5" i="2"/>
  <c r="F5" i="2"/>
  <c r="K5" i="2"/>
  <c r="H5" i="2"/>
  <c r="E5" i="2"/>
  <c r="J5" i="2"/>
  <c r="G5" i="2"/>
  <c r="D5" i="2"/>
  <c r="S4" i="2"/>
  <c r="R4" i="2"/>
  <c r="Q4" i="2"/>
  <c r="P4" i="2"/>
  <c r="O4" i="2"/>
  <c r="N4" i="2"/>
  <c r="M4" i="2"/>
  <c r="L4" i="2"/>
  <c r="I4" i="2"/>
  <c r="F4" i="2"/>
  <c r="K4" i="2"/>
  <c r="H4" i="2"/>
  <c r="E4" i="2"/>
  <c r="J4" i="2"/>
  <c r="G4" i="2"/>
  <c r="D4" i="2"/>
  <c r="S3" i="2"/>
  <c r="R3" i="2"/>
  <c r="Q3" i="2"/>
  <c r="P3" i="2"/>
  <c r="O3" i="2"/>
  <c r="N3" i="2"/>
  <c r="M3" i="2"/>
  <c r="L3" i="2"/>
  <c r="I3" i="2"/>
  <c r="F3" i="2"/>
  <c r="K3" i="2"/>
  <c r="H3" i="2"/>
  <c r="E3" i="2"/>
  <c r="J3" i="2"/>
  <c r="G3" i="2"/>
  <c r="D3" i="2"/>
  <c r="S2" i="2"/>
  <c r="R2" i="2"/>
  <c r="Q2" i="2"/>
  <c r="P2" i="2"/>
  <c r="O2" i="2"/>
  <c r="N2" i="2"/>
  <c r="M2" i="2"/>
  <c r="L2" i="2"/>
  <c r="I2" i="2"/>
  <c r="F2" i="2"/>
  <c r="K2" i="2"/>
  <c r="H2" i="2"/>
  <c r="E2" i="2"/>
  <c r="J2" i="2"/>
  <c r="G2" i="2"/>
  <c r="D2" i="2"/>
</calcChain>
</file>

<file path=xl/sharedStrings.xml><?xml version="1.0" encoding="utf-8"?>
<sst xmlns="http://schemas.openxmlformats.org/spreadsheetml/2006/main" count="136" uniqueCount="68">
  <si>
    <t>Feature</t>
  </si>
  <si>
    <t>Business owner</t>
  </si>
  <si>
    <t>Business value</t>
  </si>
  <si>
    <t>Time criticality</t>
  </si>
  <si>
    <t>Risk reduction</t>
  </si>
  <si>
    <t>F1</t>
  </si>
  <si>
    <t>Passenger Experience</t>
  </si>
  <si>
    <t>Operations</t>
  </si>
  <si>
    <t>Platform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</si>
  <si>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</si>
  <si>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</si>
  <si>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</si>
  <si>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</si>
  <si>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</si>
  <si>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</si>
  <si>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</si>
  <si>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</si>
  <si>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</si>
  <si>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ID</t>
  </si>
  <si>
    <t>Job size</t>
  </si>
  <si>
    <t>BV average</t>
  </si>
  <si>
    <t>TC average</t>
  </si>
  <si>
    <t>RR average</t>
  </si>
  <si>
    <t>BV median</t>
  </si>
  <si>
    <t>TC median</t>
  </si>
  <si>
    <t>RR median</t>
  </si>
  <si>
    <t>BV spread</t>
  </si>
  <si>
    <t>TC spread</t>
  </si>
  <si>
    <t>RR spread</t>
  </si>
  <si>
    <t>WSJF (averages)</t>
  </si>
  <si>
    <t>Rank</t>
  </si>
  <si>
    <t>WSJF (medians)</t>
  </si>
  <si>
    <t>TC if F6 deadline is a fact</t>
  </si>
  <si>
    <t>WSJF (deadline as fact)</t>
  </si>
  <si>
    <t>Delay feed v2 at all major stations</t>
  </si>
  <si>
    <t>Outage alerting for real-time data</t>
  </si>
  <si>
    <t>Push notifications for all users</t>
  </si>
  <si>
    <t>Alternative routes at night</t>
  </si>
  <si>
    <t>Walking times for the 50 largest stations</t>
  </si>
  <si>
    <t>Screen-reader support across the app</t>
  </si>
  <si>
    <t>Logging migration for all teams</t>
  </si>
  <si>
    <t>Self-service request portal</t>
  </si>
  <si>
    <t>Platform-change events at all major stations</t>
  </si>
  <si>
    <t>Peak-hour readiness for the delay feed</t>
  </si>
  <si>
    <t>BV = business value, TC = time criticality, RR = risk reduction. Spread = highest minus lowest score of the three business owners.</t>
  </si>
  <si>
    <t>Capacity</t>
  </si>
  <si>
    <t>Value</t>
  </si>
  <si>
    <t>Velocity, last four sprints</t>
  </si>
  <si>
    <t>Average velocity</t>
  </si>
  <si>
    <t>Sprints in the next PI</t>
  </si>
  <si>
    <t>People available</t>
  </si>
  <si>
    <t>People today</t>
  </si>
  <si>
    <t>Share for bugs</t>
  </si>
  <si>
    <t>Capacity for planned work (points)</t>
  </si>
  <si>
    <t>Assumption: velocity shrinks in proportion to the people available</t>
  </si>
  <si>
    <t>Item</t>
  </si>
  <si>
    <t>Points</t>
  </si>
  <si>
    <t>A: everything</t>
  </si>
  <si>
    <t>B: top WSJF and commitments</t>
  </si>
  <si>
    <t>C: rollout first</t>
  </si>
  <si>
    <t>Feed v2 in Switch's test environment</t>
  </si>
  <si>
    <t>Feed v2 rollout: the 20 largest stations</t>
  </si>
  <si>
    <t>Feed v2 rollout: the other major stations</t>
  </si>
  <si>
    <t>Outage alerting, together with Team Depot</t>
  </si>
  <si>
    <t>Peak-hour readiness: load test and tuning</t>
  </si>
  <si>
    <t>Load (points)</t>
  </si>
  <si>
    <t>Share of capacity</t>
  </si>
  <si>
    <t>Fits?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</si>
</sst>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DA12-0386-463C-B989-B33EBA41B5F9}">
  <dimension ref="A1:E31"/>
  <sheetViews>
    <sheetView workbookViewId="0"/>
  </sheetViews>
  <sheetFormatPr baseColWidth="10" defaultRowHeight="15" x14ac:dyDescent="0.25"/>
  <cols>
    <col min="1" max="1" width="7.85546875" bestFit="1" customWidth="1"/>
    <col min="2" max="2" width="20.42578125" bestFit="1" customWidth="1"/>
    <col min="3" max="4" width="14" bestFit="1" customWidth="1"/>
    <col min="5" max="5" width="13.5703125" bestFit="1" customWidth="1"/>
  </cols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t="s">
        <v>6</v>
      </c>
      <c r="C2">
        <v>13</v>
      </c>
      <c r="D2">
        <v>8</v>
      </c>
      <c r="E2">
        <v>8</v>
      </c>
    </row>
    <row r="3" spans="1:5" x14ac:dyDescent="0.25">
      <c r="A3" t="s">
        <v>5</v>
      </c>
      <c r="B3" t="s">
        <v>7</v>
      </c>
      <c r="C3">
        <v>13</v>
      </c>
      <c r="D3">
        <v>13</v>
      </c>
      <c r="E3">
        <v>8</v>
      </c>
    </row>
    <row r="4" spans="1:5" x14ac:dyDescent="0.25">
      <c r="A4" t="s">
        <v>5</v>
      </c>
      <c r="B4" t="s">
        <v>8</v>
      </c>
      <c r="C4">
        <v>8</v>
      </c>
      <c r="D4">
        <v>5</v>
      </c>
      <c r="E4">
        <v>13</v>
      </c>
    </row>
    <row r="5" spans="1:5" x14ac:dyDescent="0.25">
      <c r="A5" t="s">
        <v>9</v>
      </c>
      <c r="B5" t="s">
        <v>6</v>
      </c>
      <c r="C5">
        <v>5</v>
      </c>
      <c r="D5">
        <v>5</v>
      </c>
      <c r="E5">
        <v>13</v>
      </c>
    </row>
    <row r="6" spans="1:5" x14ac:dyDescent="0.25">
      <c r="A6" t="s">
        <v>9</v>
      </c>
      <c r="B6" t="s">
        <v>7</v>
      </c>
      <c r="C6">
        <v>13</v>
      </c>
      <c r="D6">
        <v>20</v>
      </c>
      <c r="E6">
        <v>13</v>
      </c>
    </row>
    <row r="7" spans="1:5" x14ac:dyDescent="0.25">
      <c r="A7" t="s">
        <v>9</v>
      </c>
      <c r="B7" t="s">
        <v>8</v>
      </c>
      <c r="C7">
        <v>8</v>
      </c>
      <c r="D7">
        <v>8</v>
      </c>
      <c r="E7">
        <v>13</v>
      </c>
    </row>
    <row r="8" spans="1:5" x14ac:dyDescent="0.25">
      <c r="A8" t="s">
        <v>10</v>
      </c>
      <c r="B8" t="s">
        <v>6</v>
      </c>
      <c r="C8">
        <v>20</v>
      </c>
      <c r="D8">
        <v>13</v>
      </c>
      <c r="E8">
        <v>2</v>
      </c>
    </row>
    <row r="9" spans="1:5" x14ac:dyDescent="0.25">
      <c r="A9" t="s">
        <v>10</v>
      </c>
      <c r="B9" t="s">
        <v>7</v>
      </c>
      <c r="C9">
        <v>8</v>
      </c>
      <c r="D9">
        <v>5</v>
      </c>
      <c r="E9">
        <v>3</v>
      </c>
    </row>
    <row r="10" spans="1:5" x14ac:dyDescent="0.25">
      <c r="A10" t="s">
        <v>10</v>
      </c>
      <c r="B10" t="s">
        <v>8</v>
      </c>
      <c r="C10">
        <v>3</v>
      </c>
      <c r="D10">
        <v>2</v>
      </c>
      <c r="E10">
        <v>1</v>
      </c>
    </row>
    <row r="11" spans="1:5" x14ac:dyDescent="0.25">
      <c r="A11" t="s">
        <v>11</v>
      </c>
      <c r="B11" t="s">
        <v>6</v>
      </c>
      <c r="C11">
        <v>8</v>
      </c>
      <c r="D11">
        <v>3</v>
      </c>
      <c r="E11">
        <v>2</v>
      </c>
    </row>
    <row r="12" spans="1:5" x14ac:dyDescent="0.25">
      <c r="A12" t="s">
        <v>11</v>
      </c>
      <c r="B12" t="s">
        <v>7</v>
      </c>
      <c r="C12">
        <v>5</v>
      </c>
      <c r="D12">
        <v>2</v>
      </c>
      <c r="E12">
        <v>2</v>
      </c>
    </row>
    <row r="13" spans="1:5" x14ac:dyDescent="0.25">
      <c r="A13" t="s">
        <v>11</v>
      </c>
      <c r="B13" t="s">
        <v>8</v>
      </c>
      <c r="C13">
        <v>2</v>
      </c>
      <c r="D13">
        <v>1</v>
      </c>
      <c r="E13">
        <v>1</v>
      </c>
    </row>
    <row r="14" spans="1:5" x14ac:dyDescent="0.25">
      <c r="A14" t="s">
        <v>12</v>
      </c>
      <c r="B14" t="s">
        <v>6</v>
      </c>
      <c r="C14">
        <v>13</v>
      </c>
      <c r="D14">
        <v>5</v>
      </c>
      <c r="E14">
        <v>3</v>
      </c>
    </row>
    <row r="15" spans="1:5" x14ac:dyDescent="0.25">
      <c r="A15" t="s">
        <v>12</v>
      </c>
      <c r="B15" t="s">
        <v>7</v>
      </c>
      <c r="C15">
        <v>8</v>
      </c>
      <c r="D15">
        <v>5</v>
      </c>
      <c r="E15">
        <v>2</v>
      </c>
    </row>
    <row r="16" spans="1:5" x14ac:dyDescent="0.25">
      <c r="A16" t="s">
        <v>12</v>
      </c>
      <c r="B16" t="s">
        <v>8</v>
      </c>
      <c r="C16">
        <v>3</v>
      </c>
      <c r="D16">
        <v>2</v>
      </c>
      <c r="E16">
        <v>2</v>
      </c>
    </row>
    <row r="17" spans="1:5" x14ac:dyDescent="0.25">
      <c r="A17" t="s">
        <v>13</v>
      </c>
      <c r="B17" t="s">
        <v>6</v>
      </c>
      <c r="C17">
        <v>8</v>
      </c>
      <c r="D17">
        <v>20</v>
      </c>
      <c r="E17">
        <v>5</v>
      </c>
    </row>
    <row r="18" spans="1:5" x14ac:dyDescent="0.25">
      <c r="A18" t="s">
        <v>13</v>
      </c>
      <c r="B18" t="s">
        <v>7</v>
      </c>
      <c r="C18">
        <v>5</v>
      </c>
      <c r="D18">
        <v>8</v>
      </c>
      <c r="E18">
        <v>3</v>
      </c>
    </row>
    <row r="19" spans="1:5" x14ac:dyDescent="0.25">
      <c r="A19" t="s">
        <v>13</v>
      </c>
      <c r="B19" t="s">
        <v>8</v>
      </c>
      <c r="C19">
        <v>3</v>
      </c>
      <c r="D19">
        <v>8</v>
      </c>
      <c r="E19">
        <v>2</v>
      </c>
    </row>
    <row r="20" spans="1:5" x14ac:dyDescent="0.25">
      <c r="A20" t="s">
        <v>14</v>
      </c>
      <c r="B20" t="s">
        <v>6</v>
      </c>
      <c r="C20">
        <v>1</v>
      </c>
      <c r="D20">
        <v>2</v>
      </c>
      <c r="E20">
        <v>3</v>
      </c>
    </row>
    <row r="21" spans="1:5" x14ac:dyDescent="0.25">
      <c r="A21" t="s">
        <v>14</v>
      </c>
      <c r="B21" t="s">
        <v>7</v>
      </c>
      <c r="C21">
        <v>3</v>
      </c>
      <c r="D21">
        <v>5</v>
      </c>
      <c r="E21">
        <v>8</v>
      </c>
    </row>
    <row r="22" spans="1:5" x14ac:dyDescent="0.25">
      <c r="A22" t="s">
        <v>14</v>
      </c>
      <c r="B22" t="s">
        <v>8</v>
      </c>
      <c r="C22">
        <v>8</v>
      </c>
      <c r="D22">
        <v>13</v>
      </c>
      <c r="E22">
        <v>20</v>
      </c>
    </row>
    <row r="23" spans="1:5" x14ac:dyDescent="0.25">
      <c r="A23" t="s">
        <v>15</v>
      </c>
      <c r="B23" t="s">
        <v>6</v>
      </c>
      <c r="C23">
        <v>1</v>
      </c>
      <c r="D23">
        <v>1</v>
      </c>
      <c r="E23">
        <v>2</v>
      </c>
    </row>
    <row r="24" spans="1:5" x14ac:dyDescent="0.25">
      <c r="A24" t="s">
        <v>15</v>
      </c>
      <c r="B24" t="s">
        <v>7</v>
      </c>
      <c r="C24">
        <v>2</v>
      </c>
      <c r="D24">
        <v>2</v>
      </c>
      <c r="E24">
        <v>3</v>
      </c>
    </row>
    <row r="25" spans="1:5" x14ac:dyDescent="0.25">
      <c r="A25" t="s">
        <v>15</v>
      </c>
      <c r="B25" t="s">
        <v>8</v>
      </c>
      <c r="C25">
        <v>8</v>
      </c>
      <c r="D25">
        <v>5</v>
      </c>
      <c r="E25">
        <v>13</v>
      </c>
    </row>
    <row r="26" spans="1:5" x14ac:dyDescent="0.25">
      <c r="A26" t="s">
        <v>16</v>
      </c>
      <c r="B26" t="s">
        <v>6</v>
      </c>
      <c r="C26">
        <v>13</v>
      </c>
      <c r="D26">
        <v>8</v>
      </c>
      <c r="E26">
        <v>5</v>
      </c>
    </row>
    <row r="27" spans="1:5" x14ac:dyDescent="0.25">
      <c r="A27" t="s">
        <v>16</v>
      </c>
      <c r="B27" t="s">
        <v>7</v>
      </c>
      <c r="C27">
        <v>8</v>
      </c>
      <c r="D27">
        <v>5</v>
      </c>
      <c r="E27">
        <v>3</v>
      </c>
    </row>
    <row r="28" spans="1:5" x14ac:dyDescent="0.25">
      <c r="A28" t="s">
        <v>16</v>
      </c>
      <c r="B28" t="s">
        <v>8</v>
      </c>
      <c r="C28">
        <v>5</v>
      </c>
      <c r="D28">
        <v>3</v>
      </c>
      <c r="E28">
        <v>2</v>
      </c>
    </row>
    <row r="29" spans="1:5" x14ac:dyDescent="0.25">
      <c r="A29" t="s">
        <v>17</v>
      </c>
      <c r="B29" t="s">
        <v>6</v>
      </c>
      <c r="C29">
        <v>8</v>
      </c>
      <c r="D29">
        <v>8</v>
      </c>
      <c r="E29">
        <v>13</v>
      </c>
    </row>
    <row r="30" spans="1:5" x14ac:dyDescent="0.25">
      <c r="A30" t="s">
        <v>17</v>
      </c>
      <c r="B30" t="s">
        <v>7</v>
      </c>
      <c r="C30">
        <v>13</v>
      </c>
      <c r="D30">
        <v>13</v>
      </c>
      <c r="E30">
        <v>13</v>
      </c>
    </row>
    <row r="31" spans="1:5" x14ac:dyDescent="0.25">
      <c r="A31" t="s">
        <v>17</v>
      </c>
      <c r="B31" t="s">
        <v>8</v>
      </c>
      <c r="C31">
        <v>8</v>
      </c>
      <c r="D31">
        <v>8</v>
      </c>
      <c r="E31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D26F-2274-4249-9C2D-698F45A65B6B}">
  <dimension ref="A1:S13"/>
  <sheetViews>
    <sheetView tabSelected="1" workbookViewId="0"/>
  </sheetViews>
  <sheetFormatPr baseColWidth="10" defaultRowHeight="15" x14ac:dyDescent="0.25"/>
  <cols>
    <col min="1" max="1" width="115.85546875" bestFit="1" customWidth="1"/>
    <col min="2" max="2" width="40.5703125" bestFit="1" customWidth="1"/>
    <col min="3" max="3" width="7.85546875" bestFit="1" customWidth="1"/>
    <col min="4" max="4" width="10.85546875" bestFit="1" customWidth="1"/>
    <col min="5" max="5" width="10.5703125" bestFit="1" customWidth="1"/>
    <col min="6" max="6" width="10.7109375" bestFit="1" customWidth="1"/>
    <col min="7" max="7" width="10.5703125" bestFit="1" customWidth="1"/>
    <col min="8" max="8" width="10.28515625" bestFit="1" customWidth="1"/>
    <col min="9" max="9" width="10.42578125" bestFit="1" customWidth="1"/>
    <col min="10" max="10" width="9.85546875" bestFit="1" customWidth="1"/>
    <col min="11" max="11" width="9.5703125" bestFit="1" customWidth="1"/>
    <col min="12" max="12" width="9.7109375" bestFit="1" customWidth="1"/>
    <col min="13" max="13" width="15.42578125" bestFit="1" customWidth="1"/>
    <col min="14" max="14" width="5.28515625" bestFit="1" customWidth="1"/>
    <col min="15" max="15" width="15.140625" bestFit="1" customWidth="1"/>
    <col min="16" max="16" width="5.28515625" bestFit="1" customWidth="1"/>
    <col min="17" max="17" width="22.85546875" bestFit="1" customWidth="1"/>
    <col min="18" max="18" width="21.7109375" bestFit="1" customWidth="1"/>
    <col min="19" max="19" width="5.28515625" bestFit="1" customWidth="1"/>
  </cols>
  <sheetData>
    <row r="1" spans="1:19" s="4" customFormat="1" x14ac:dyDescent="0.25">
      <c r="A1" s="4" t="s">
        <v>18</v>
      </c>
      <c r="B1" s="4" t="s">
        <v>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30</v>
      </c>
      <c r="Q1" s="4" t="s">
        <v>32</v>
      </c>
      <c r="R1" s="4" t="s">
        <v>33</v>
      </c>
      <c r="S1" s="4" t="s">
        <v>30</v>
      </c>
    </row>
    <row r="2" spans="1:19" x14ac:dyDescent="0.25">
      <c r="A2" t="s">
        <v>5</v>
      </c>
      <c r="B2" t="s">
        <v>34</v>
      </c>
      <c r="C2">
        <v>13</v>
      </c>
      <c r="D2" s="1">
        <f>AVERAGEIFS(Scores!$C$2:$C$31,Scores!$A$2:$A$31,$A2)</f>
        <v>11.333333333333334</v>
      </c>
      <c r="E2" s="1">
        <f>AVERAGEIFS(Scores!$D$2:$D$31,Scores!$A$2:$A$31,$A2)</f>
        <v>8.6666666666666661</v>
      </c>
      <c r="F2" s="1">
        <f>AVERAGEIFS(Scores!$E$2:$E$31,Scores!$A$2:$A$31,$A2)</f>
        <v>9.6666666666666661</v>
      </c>
      <c r="G2" s="1">
        <f>_xlfn.AGGREGATE(17,6,Scores!$C$2:$C$31/(Scores!$A$2:$A$31=$A2),2)</f>
        <v>13</v>
      </c>
      <c r="H2" s="1">
        <f>_xlfn.AGGREGATE(17,6,Scores!$D$2:$D$31/(Scores!$A$2:$A$31=$A2),2)</f>
        <v>8</v>
      </c>
      <c r="I2" s="1">
        <f>_xlfn.AGGREGATE(17,6,Scores!$E$2:$E$31/(Scores!$A$2:$A$31=$A2),2)</f>
        <v>8</v>
      </c>
      <c r="J2">
        <f>_xlfn.AGGREGATE(14,6,Scores!$C$2:$C$31/(Scores!$A$2:$A$31=$A2),1)-_xlfn.AGGREGATE(15,6,Scores!$C$2:$C$31/(Scores!$A$2:$A$31=$A2),1)</f>
        <v>5</v>
      </c>
      <c r="K2">
        <f>_xlfn.AGGREGATE(14,6,Scores!$D$2:$D$31/(Scores!$A$2:$A$31=$A2),1)-_xlfn.AGGREGATE(15,6,Scores!$D$2:$D$31/(Scores!$A$2:$A$31=$A2),1)</f>
        <v>8</v>
      </c>
      <c r="L2">
        <f>_xlfn.AGGREGATE(14,6,Scores!$E$2:$E$31/(Scores!$A$2:$A$31=$A2),1)-_xlfn.AGGREGATE(15,6,Scores!$E$2:$E$31/(Scores!$A$2:$A$31=$A2),1)</f>
        <v>5</v>
      </c>
      <c r="M2" s="2">
        <f>(D2+E2+F2)/C2</f>
        <v>2.2820512820512819</v>
      </c>
      <c r="N2">
        <f>_xlfn.RANK.EQ(M2,$M$2:$M$11)</f>
        <v>7</v>
      </c>
      <c r="O2" s="2">
        <f>(G2+H2+I2)/C2</f>
        <v>2.2307692307692308</v>
      </c>
      <c r="P2">
        <f>_xlfn.RANK.EQ(O2,$O$2:$O$11)</f>
        <v>3</v>
      </c>
      <c r="Q2" s="2">
        <f>IF(A2="F6",20,E2)</f>
        <v>8.6666666666666661</v>
      </c>
      <c r="R2" s="2">
        <f>(D2+Q2+F2)/C2</f>
        <v>2.2820512820512819</v>
      </c>
      <c r="S2">
        <f>_xlfn.RANK.EQ(R2,$R$2:$R$11)</f>
        <v>7</v>
      </c>
    </row>
    <row r="3" spans="1:19" x14ac:dyDescent="0.25">
      <c r="A3" t="s">
        <v>9</v>
      </c>
      <c r="B3" t="s">
        <v>35</v>
      </c>
      <c r="C3">
        <v>5</v>
      </c>
      <c r="D3" s="1">
        <f>AVERAGEIFS(Scores!$C$2:$C$31,Scores!$A$2:$A$31,$A3)</f>
        <v>8.6666666666666661</v>
      </c>
      <c r="E3" s="1">
        <f>AVERAGEIFS(Scores!$D$2:$D$31,Scores!$A$2:$A$31,$A3)</f>
        <v>11</v>
      </c>
      <c r="F3" s="1">
        <f>AVERAGEIFS(Scores!$E$2:$E$31,Scores!$A$2:$A$31,$A3)</f>
        <v>13</v>
      </c>
      <c r="G3" s="1">
        <f>_xlfn.AGGREGATE(17,6,Scores!$C$2:$C$31/(Scores!$A$2:$A$31=$A3),2)</f>
        <v>8</v>
      </c>
      <c r="H3" s="1">
        <f>_xlfn.AGGREGATE(17,6,Scores!$D$2:$D$31/(Scores!$A$2:$A$31=$A3),2)</f>
        <v>8</v>
      </c>
      <c r="I3" s="1">
        <f>_xlfn.AGGREGATE(17,6,Scores!$E$2:$E$31/(Scores!$A$2:$A$31=$A3),2)</f>
        <v>13</v>
      </c>
      <c r="J3">
        <f>_xlfn.AGGREGATE(14,6,Scores!$C$2:$C$31/(Scores!$A$2:$A$31=$A3),1)-_xlfn.AGGREGATE(15,6,Scores!$C$2:$C$31/(Scores!$A$2:$A$31=$A3),1)</f>
        <v>8</v>
      </c>
      <c r="K3">
        <f>_xlfn.AGGREGATE(14,6,Scores!$D$2:$D$31/(Scores!$A$2:$A$31=$A3),1)-_xlfn.AGGREGATE(15,6,Scores!$D$2:$D$31/(Scores!$A$2:$A$31=$A3),1)</f>
        <v>15</v>
      </c>
      <c r="L3">
        <f>_xlfn.AGGREGATE(14,6,Scores!$E$2:$E$31/(Scores!$A$2:$A$31=$A3),1)-_xlfn.AGGREGATE(15,6,Scores!$E$2:$E$31/(Scores!$A$2:$A$31=$A3),1)</f>
        <v>0</v>
      </c>
      <c r="M3" s="2">
        <f>(D3+E3+F3)/C3</f>
        <v>6.5333333333333332</v>
      </c>
      <c r="N3">
        <f>_xlfn.RANK.EQ(M3,$M$2:$M$11)</f>
        <v>1</v>
      </c>
      <c r="O3" s="2">
        <f>(G3+H3+I3)/C3</f>
        <v>5.8</v>
      </c>
      <c r="P3">
        <f>_xlfn.RANK.EQ(O3,$O$2:$O$11)</f>
        <v>1</v>
      </c>
      <c r="Q3" s="2">
        <f>IF(A3="F6",20,E3)</f>
        <v>11</v>
      </c>
      <c r="R3" s="2">
        <f>(D3+Q3+F3)/C3</f>
        <v>6.5333333333333332</v>
      </c>
      <c r="S3">
        <f>_xlfn.RANK.EQ(R3,$R$2:$R$11)</f>
        <v>1</v>
      </c>
    </row>
    <row r="4" spans="1:19" x14ac:dyDescent="0.25">
      <c r="A4" t="s">
        <v>10</v>
      </c>
      <c r="B4" t="s">
        <v>36</v>
      </c>
      <c r="C4">
        <v>8</v>
      </c>
      <c r="D4" s="1">
        <f>AVERAGEIFS(Scores!$C$2:$C$31,Scores!$A$2:$A$31,$A4)</f>
        <v>10.333333333333334</v>
      </c>
      <c r="E4" s="1">
        <f>AVERAGEIFS(Scores!$D$2:$D$31,Scores!$A$2:$A$31,$A4)</f>
        <v>6.666666666666667</v>
      </c>
      <c r="F4" s="1">
        <f>AVERAGEIFS(Scores!$E$2:$E$31,Scores!$A$2:$A$31,$A4)</f>
        <v>2</v>
      </c>
      <c r="G4" s="1">
        <f>_xlfn.AGGREGATE(17,6,Scores!$C$2:$C$31/(Scores!$A$2:$A$31=$A4),2)</f>
        <v>8</v>
      </c>
      <c r="H4" s="1">
        <f>_xlfn.AGGREGATE(17,6,Scores!$D$2:$D$31/(Scores!$A$2:$A$31=$A4),2)</f>
        <v>5</v>
      </c>
      <c r="I4" s="1">
        <f>_xlfn.AGGREGATE(17,6,Scores!$E$2:$E$31/(Scores!$A$2:$A$31=$A4),2)</f>
        <v>2</v>
      </c>
      <c r="J4">
        <f>_xlfn.AGGREGATE(14,6,Scores!$C$2:$C$31/(Scores!$A$2:$A$31=$A4),1)-_xlfn.AGGREGATE(15,6,Scores!$C$2:$C$31/(Scores!$A$2:$A$31=$A4),1)</f>
        <v>17</v>
      </c>
      <c r="K4">
        <f>_xlfn.AGGREGATE(14,6,Scores!$D$2:$D$31/(Scores!$A$2:$A$31=$A4),1)-_xlfn.AGGREGATE(15,6,Scores!$D$2:$D$31/(Scores!$A$2:$A$31=$A4),1)</f>
        <v>11</v>
      </c>
      <c r="L4">
        <f>_xlfn.AGGREGATE(14,6,Scores!$E$2:$E$31/(Scores!$A$2:$A$31=$A4),1)-_xlfn.AGGREGATE(15,6,Scores!$E$2:$E$31/(Scores!$A$2:$A$31=$A4),1)</f>
        <v>2</v>
      </c>
      <c r="M4" s="2">
        <f>(D4+E4+F4)/C4</f>
        <v>2.375</v>
      </c>
      <c r="N4">
        <f>_xlfn.RANK.EQ(M4,$M$2:$M$11)</f>
        <v>6</v>
      </c>
      <c r="O4" s="2">
        <f>(G4+H4+I4)/C4</f>
        <v>1.875</v>
      </c>
      <c r="P4">
        <f>_xlfn.RANK.EQ(O4,$O$2:$O$11)</f>
        <v>6</v>
      </c>
      <c r="Q4" s="2">
        <f>IF(A4="F6",20,E4)</f>
        <v>6.666666666666667</v>
      </c>
      <c r="R4" s="2">
        <f>(D4+Q4+F4)/C4</f>
        <v>2.375</v>
      </c>
      <c r="S4">
        <f>_xlfn.RANK.EQ(R4,$R$2:$R$11)</f>
        <v>6</v>
      </c>
    </row>
    <row r="5" spans="1:19" x14ac:dyDescent="0.25">
      <c r="A5" t="s">
        <v>11</v>
      </c>
      <c r="B5" t="s">
        <v>37</v>
      </c>
      <c r="C5">
        <v>8</v>
      </c>
      <c r="D5" s="1">
        <f>AVERAGEIFS(Scores!$C$2:$C$31,Scores!$A$2:$A$31,$A5)</f>
        <v>5</v>
      </c>
      <c r="E5" s="1">
        <f>AVERAGEIFS(Scores!$D$2:$D$31,Scores!$A$2:$A$31,$A5)</f>
        <v>2</v>
      </c>
      <c r="F5" s="1">
        <f>AVERAGEIFS(Scores!$E$2:$E$31,Scores!$A$2:$A$31,$A5)</f>
        <v>1.6666666666666667</v>
      </c>
      <c r="G5" s="1">
        <f>_xlfn.AGGREGATE(17,6,Scores!$C$2:$C$31/(Scores!$A$2:$A$31=$A5),2)</f>
        <v>5</v>
      </c>
      <c r="H5" s="1">
        <f>_xlfn.AGGREGATE(17,6,Scores!$D$2:$D$31/(Scores!$A$2:$A$31=$A5),2)</f>
        <v>2</v>
      </c>
      <c r="I5" s="1">
        <f>_xlfn.AGGREGATE(17,6,Scores!$E$2:$E$31/(Scores!$A$2:$A$31=$A5),2)</f>
        <v>2</v>
      </c>
      <c r="J5">
        <f>_xlfn.AGGREGATE(14,6,Scores!$C$2:$C$31/(Scores!$A$2:$A$31=$A5),1)-_xlfn.AGGREGATE(15,6,Scores!$C$2:$C$31/(Scores!$A$2:$A$31=$A5),1)</f>
        <v>6</v>
      </c>
      <c r="K5">
        <f>_xlfn.AGGREGATE(14,6,Scores!$D$2:$D$31/(Scores!$A$2:$A$31=$A5),1)-_xlfn.AGGREGATE(15,6,Scores!$D$2:$D$31/(Scores!$A$2:$A$31=$A5),1)</f>
        <v>2</v>
      </c>
      <c r="L5">
        <f>_xlfn.AGGREGATE(14,6,Scores!$E$2:$E$31/(Scores!$A$2:$A$31=$A5),1)-_xlfn.AGGREGATE(15,6,Scores!$E$2:$E$31/(Scores!$A$2:$A$31=$A5),1)</f>
        <v>1</v>
      </c>
      <c r="M5" s="2">
        <f>(D5+E5+F5)/C5</f>
        <v>1.0833333333333333</v>
      </c>
      <c r="N5">
        <f>_xlfn.RANK.EQ(M5,$M$2:$M$11)</f>
        <v>10</v>
      </c>
      <c r="O5" s="2">
        <f>(G5+H5+I5)/C5</f>
        <v>1.125</v>
      </c>
      <c r="P5">
        <f>_xlfn.RANK.EQ(O5,$O$2:$O$11)</f>
        <v>10</v>
      </c>
      <c r="Q5" s="2">
        <f>IF(A5="F6",20,E5)</f>
        <v>2</v>
      </c>
      <c r="R5" s="2">
        <f>(D5+Q5+F5)/C5</f>
        <v>1.0833333333333333</v>
      </c>
      <c r="S5">
        <f>_xlfn.RANK.EQ(R5,$R$2:$R$11)</f>
        <v>10</v>
      </c>
    </row>
    <row r="6" spans="1:19" x14ac:dyDescent="0.25">
      <c r="A6" t="s">
        <v>12</v>
      </c>
      <c r="B6" t="s">
        <v>38</v>
      </c>
      <c r="C6">
        <v>13</v>
      </c>
      <c r="D6" s="1">
        <f>AVERAGEIFS(Scores!$C$2:$C$31,Scores!$A$2:$A$31,$A6)</f>
        <v>8</v>
      </c>
      <c r="E6" s="1">
        <f>AVERAGEIFS(Scores!$D$2:$D$31,Scores!$A$2:$A$31,$A6)</f>
        <v>4</v>
      </c>
      <c r="F6" s="1">
        <f>AVERAGEIFS(Scores!$E$2:$E$31,Scores!$A$2:$A$31,$A6)</f>
        <v>2.3333333333333335</v>
      </c>
      <c r="G6" s="1">
        <f>_xlfn.AGGREGATE(17,6,Scores!$C$2:$C$31/(Scores!$A$2:$A$31=$A6),2)</f>
        <v>8</v>
      </c>
      <c r="H6" s="1">
        <f>_xlfn.AGGREGATE(17,6,Scores!$D$2:$D$31/(Scores!$A$2:$A$31=$A6),2)</f>
        <v>5</v>
      </c>
      <c r="I6" s="1">
        <f>_xlfn.AGGREGATE(17,6,Scores!$E$2:$E$31/(Scores!$A$2:$A$31=$A6),2)</f>
        <v>2</v>
      </c>
      <c r="J6">
        <f>_xlfn.AGGREGATE(14,6,Scores!$C$2:$C$31/(Scores!$A$2:$A$31=$A6),1)-_xlfn.AGGREGATE(15,6,Scores!$C$2:$C$31/(Scores!$A$2:$A$31=$A6),1)</f>
        <v>10</v>
      </c>
      <c r="K6">
        <f>_xlfn.AGGREGATE(14,6,Scores!$D$2:$D$31/(Scores!$A$2:$A$31=$A6),1)-_xlfn.AGGREGATE(15,6,Scores!$D$2:$D$31/(Scores!$A$2:$A$31=$A6),1)</f>
        <v>3</v>
      </c>
      <c r="L6">
        <f>_xlfn.AGGREGATE(14,6,Scores!$E$2:$E$31/(Scores!$A$2:$A$31=$A6),1)-_xlfn.AGGREGATE(15,6,Scores!$E$2:$E$31/(Scores!$A$2:$A$31=$A6),1)</f>
        <v>1</v>
      </c>
      <c r="M6" s="2">
        <f>(D6+E6+F6)/C6</f>
        <v>1.1025641025641026</v>
      </c>
      <c r="N6">
        <f>_xlfn.RANK.EQ(M6,$M$2:$M$11)</f>
        <v>9</v>
      </c>
      <c r="O6" s="2">
        <f>(G6+H6+I6)/C6</f>
        <v>1.1538461538461537</v>
      </c>
      <c r="P6">
        <f>_xlfn.RANK.EQ(O6,$O$2:$O$11)</f>
        <v>9</v>
      </c>
      <c r="Q6" s="2">
        <f>IF(A6="F6",20,E6)</f>
        <v>4</v>
      </c>
      <c r="R6" s="2">
        <f>(D6+Q6+F6)/C6</f>
        <v>1.1025641025641026</v>
      </c>
      <c r="S6">
        <f>_xlfn.RANK.EQ(R6,$R$2:$R$11)</f>
        <v>9</v>
      </c>
    </row>
    <row r="7" spans="1:19" x14ac:dyDescent="0.25">
      <c r="A7" t="s">
        <v>13</v>
      </c>
      <c r="B7" t="s">
        <v>39</v>
      </c>
      <c r="C7">
        <v>8</v>
      </c>
      <c r="D7" s="1">
        <f>AVERAGEIFS(Scores!$C$2:$C$31,Scores!$A$2:$A$31,$A7)</f>
        <v>5.333333333333333</v>
      </c>
      <c r="E7" s="1">
        <f>AVERAGEIFS(Scores!$D$2:$D$31,Scores!$A$2:$A$31,$A7)</f>
        <v>12</v>
      </c>
      <c r="F7" s="1">
        <f>AVERAGEIFS(Scores!$E$2:$E$31,Scores!$A$2:$A$31,$A7)</f>
        <v>3.3333333333333335</v>
      </c>
      <c r="G7" s="1">
        <f>_xlfn.AGGREGATE(17,6,Scores!$C$2:$C$31/(Scores!$A$2:$A$31=$A7),2)</f>
        <v>5</v>
      </c>
      <c r="H7" s="1">
        <f>_xlfn.AGGREGATE(17,6,Scores!$D$2:$D$31/(Scores!$A$2:$A$31=$A7),2)</f>
        <v>8</v>
      </c>
      <c r="I7" s="1">
        <f>_xlfn.AGGREGATE(17,6,Scores!$E$2:$E$31/(Scores!$A$2:$A$31=$A7),2)</f>
        <v>3</v>
      </c>
      <c r="J7">
        <f>_xlfn.AGGREGATE(14,6,Scores!$C$2:$C$31/(Scores!$A$2:$A$31=$A7),1)-_xlfn.AGGREGATE(15,6,Scores!$C$2:$C$31/(Scores!$A$2:$A$31=$A7),1)</f>
        <v>5</v>
      </c>
      <c r="K7">
        <f>_xlfn.AGGREGATE(14,6,Scores!$D$2:$D$31/(Scores!$A$2:$A$31=$A7),1)-_xlfn.AGGREGATE(15,6,Scores!$D$2:$D$31/(Scores!$A$2:$A$31=$A7),1)</f>
        <v>12</v>
      </c>
      <c r="L7">
        <f>_xlfn.AGGREGATE(14,6,Scores!$E$2:$E$31/(Scores!$A$2:$A$31=$A7),1)-_xlfn.AGGREGATE(15,6,Scores!$E$2:$E$31/(Scores!$A$2:$A$31=$A7),1)</f>
        <v>3</v>
      </c>
      <c r="M7" s="2">
        <f>(D7+E7+F7)/C7</f>
        <v>2.583333333333333</v>
      </c>
      <c r="N7">
        <f>_xlfn.RANK.EQ(M7,$M$2:$M$11)</f>
        <v>4</v>
      </c>
      <c r="O7" s="2">
        <f>(G7+H7+I7)/C7</f>
        <v>2</v>
      </c>
      <c r="P7">
        <f>_xlfn.RANK.EQ(O7,$O$2:$O$11)</f>
        <v>4</v>
      </c>
      <c r="Q7" s="2">
        <f>IF(A7="F6",20,E7)</f>
        <v>20</v>
      </c>
      <c r="R7" s="2">
        <f>(D7+Q7+F7)/C7</f>
        <v>3.583333333333333</v>
      </c>
      <c r="S7">
        <f>_xlfn.RANK.EQ(R7,$R$2:$R$11)</f>
        <v>3</v>
      </c>
    </row>
    <row r="8" spans="1:19" x14ac:dyDescent="0.25">
      <c r="A8" t="s">
        <v>14</v>
      </c>
      <c r="B8" t="s">
        <v>40</v>
      </c>
      <c r="C8">
        <v>8</v>
      </c>
      <c r="D8" s="1">
        <f>AVERAGEIFS(Scores!$C$2:$C$31,Scores!$A$2:$A$31,$A8)</f>
        <v>4</v>
      </c>
      <c r="E8" s="1">
        <f>AVERAGEIFS(Scores!$D$2:$D$31,Scores!$A$2:$A$31,$A8)</f>
        <v>6.666666666666667</v>
      </c>
      <c r="F8" s="1">
        <f>AVERAGEIFS(Scores!$E$2:$E$31,Scores!$A$2:$A$31,$A8)</f>
        <v>10.333333333333334</v>
      </c>
      <c r="G8" s="1">
        <f>_xlfn.AGGREGATE(17,6,Scores!$C$2:$C$31/(Scores!$A$2:$A$31=$A8),2)</f>
        <v>3</v>
      </c>
      <c r="H8" s="1">
        <f>_xlfn.AGGREGATE(17,6,Scores!$D$2:$D$31/(Scores!$A$2:$A$31=$A8),2)</f>
        <v>5</v>
      </c>
      <c r="I8" s="1">
        <f>_xlfn.AGGREGATE(17,6,Scores!$E$2:$E$31/(Scores!$A$2:$A$31=$A8),2)</f>
        <v>8</v>
      </c>
      <c r="J8">
        <f>_xlfn.AGGREGATE(14,6,Scores!$C$2:$C$31/(Scores!$A$2:$A$31=$A8),1)-_xlfn.AGGREGATE(15,6,Scores!$C$2:$C$31/(Scores!$A$2:$A$31=$A8),1)</f>
        <v>7</v>
      </c>
      <c r="K8">
        <f>_xlfn.AGGREGATE(14,6,Scores!$D$2:$D$31/(Scores!$A$2:$A$31=$A8),1)-_xlfn.AGGREGATE(15,6,Scores!$D$2:$D$31/(Scores!$A$2:$A$31=$A8),1)</f>
        <v>11</v>
      </c>
      <c r="L8">
        <f>_xlfn.AGGREGATE(14,6,Scores!$E$2:$E$31/(Scores!$A$2:$A$31=$A8),1)-_xlfn.AGGREGATE(15,6,Scores!$E$2:$E$31/(Scores!$A$2:$A$31=$A8),1)</f>
        <v>17</v>
      </c>
      <c r="M8" s="2">
        <f>(D8+E8+F8)/C8</f>
        <v>2.625</v>
      </c>
      <c r="N8">
        <f>_xlfn.RANK.EQ(M8,$M$2:$M$11)</f>
        <v>3</v>
      </c>
      <c r="O8" s="2">
        <f>(G8+H8+I8)/C8</f>
        <v>2</v>
      </c>
      <c r="P8">
        <f>_xlfn.RANK.EQ(O8,$O$2:$O$11)</f>
        <v>4</v>
      </c>
      <c r="Q8" s="2">
        <f>IF(A8="F6",20,E8)</f>
        <v>6.666666666666667</v>
      </c>
      <c r="R8" s="2">
        <f>(D8+Q8+F8)/C8</f>
        <v>2.625</v>
      </c>
      <c r="S8">
        <f>_xlfn.RANK.EQ(R8,$R$2:$R$11)</f>
        <v>4</v>
      </c>
    </row>
    <row r="9" spans="1:19" x14ac:dyDescent="0.25">
      <c r="A9" t="s">
        <v>15</v>
      </c>
      <c r="B9" t="s">
        <v>41</v>
      </c>
      <c r="C9">
        <v>5</v>
      </c>
      <c r="D9" s="1">
        <f>AVERAGEIFS(Scores!$C$2:$C$31,Scores!$A$2:$A$31,$A9)</f>
        <v>3.6666666666666665</v>
      </c>
      <c r="E9" s="1">
        <f>AVERAGEIFS(Scores!$D$2:$D$31,Scores!$A$2:$A$31,$A9)</f>
        <v>2.6666666666666665</v>
      </c>
      <c r="F9" s="1">
        <f>AVERAGEIFS(Scores!$E$2:$E$31,Scores!$A$2:$A$31,$A9)</f>
        <v>6</v>
      </c>
      <c r="G9" s="1">
        <f>_xlfn.AGGREGATE(17,6,Scores!$C$2:$C$31/(Scores!$A$2:$A$31=$A9),2)</f>
        <v>2</v>
      </c>
      <c r="H9" s="1">
        <f>_xlfn.AGGREGATE(17,6,Scores!$D$2:$D$31/(Scores!$A$2:$A$31=$A9),2)</f>
        <v>2</v>
      </c>
      <c r="I9" s="1">
        <f>_xlfn.AGGREGATE(17,6,Scores!$E$2:$E$31/(Scores!$A$2:$A$31=$A9),2)</f>
        <v>3</v>
      </c>
      <c r="J9">
        <f>_xlfn.AGGREGATE(14,6,Scores!$C$2:$C$31/(Scores!$A$2:$A$31=$A9),1)-_xlfn.AGGREGATE(15,6,Scores!$C$2:$C$31/(Scores!$A$2:$A$31=$A9),1)</f>
        <v>7</v>
      </c>
      <c r="K9">
        <f>_xlfn.AGGREGATE(14,6,Scores!$D$2:$D$31/(Scores!$A$2:$A$31=$A9),1)-_xlfn.AGGREGATE(15,6,Scores!$D$2:$D$31/(Scores!$A$2:$A$31=$A9),1)</f>
        <v>4</v>
      </c>
      <c r="L9">
        <f>_xlfn.AGGREGATE(14,6,Scores!$E$2:$E$31/(Scores!$A$2:$A$31=$A9),1)-_xlfn.AGGREGATE(15,6,Scores!$E$2:$E$31/(Scores!$A$2:$A$31=$A9),1)</f>
        <v>11</v>
      </c>
      <c r="M9" s="2">
        <f>(D9+E9+F9)/C9</f>
        <v>2.4666666666666663</v>
      </c>
      <c r="N9">
        <f>_xlfn.RANK.EQ(M9,$M$2:$M$11)</f>
        <v>5</v>
      </c>
      <c r="O9" s="2">
        <f>(G9+H9+I9)/C9</f>
        <v>1.4</v>
      </c>
      <c r="P9">
        <f>_xlfn.RANK.EQ(O9,$O$2:$O$11)</f>
        <v>7</v>
      </c>
      <c r="Q9" s="2">
        <f>IF(A9="F6",20,E9)</f>
        <v>2.6666666666666665</v>
      </c>
      <c r="R9" s="2">
        <f>(D9+Q9+F9)/C9</f>
        <v>2.4666666666666663</v>
      </c>
      <c r="S9">
        <f>_xlfn.RANK.EQ(R9,$R$2:$R$11)</f>
        <v>5</v>
      </c>
    </row>
    <row r="10" spans="1:19" x14ac:dyDescent="0.25">
      <c r="A10" t="s">
        <v>16</v>
      </c>
      <c r="B10" t="s">
        <v>42</v>
      </c>
      <c r="C10">
        <v>13</v>
      </c>
      <c r="D10" s="1">
        <f>AVERAGEIFS(Scores!$C$2:$C$31,Scores!$A$2:$A$31,$A10)</f>
        <v>8.6666666666666661</v>
      </c>
      <c r="E10" s="1">
        <f>AVERAGEIFS(Scores!$D$2:$D$31,Scores!$A$2:$A$31,$A10)</f>
        <v>5.333333333333333</v>
      </c>
      <c r="F10" s="1">
        <f>AVERAGEIFS(Scores!$E$2:$E$31,Scores!$A$2:$A$31,$A10)</f>
        <v>3.3333333333333335</v>
      </c>
      <c r="G10" s="1">
        <f>_xlfn.AGGREGATE(17,6,Scores!$C$2:$C$31/(Scores!$A$2:$A$31=$A10),2)</f>
        <v>8</v>
      </c>
      <c r="H10" s="1">
        <f>_xlfn.AGGREGATE(17,6,Scores!$D$2:$D$31/(Scores!$A$2:$A$31=$A10),2)</f>
        <v>5</v>
      </c>
      <c r="I10" s="1">
        <f>_xlfn.AGGREGATE(17,6,Scores!$E$2:$E$31/(Scores!$A$2:$A$31=$A10),2)</f>
        <v>3</v>
      </c>
      <c r="J10">
        <f>_xlfn.AGGREGATE(14,6,Scores!$C$2:$C$31/(Scores!$A$2:$A$31=$A10),1)-_xlfn.AGGREGATE(15,6,Scores!$C$2:$C$31/(Scores!$A$2:$A$31=$A10),1)</f>
        <v>8</v>
      </c>
      <c r="K10">
        <f>_xlfn.AGGREGATE(14,6,Scores!$D$2:$D$31/(Scores!$A$2:$A$31=$A10),1)-_xlfn.AGGREGATE(15,6,Scores!$D$2:$D$31/(Scores!$A$2:$A$31=$A10),1)</f>
        <v>5</v>
      </c>
      <c r="L10">
        <f>_xlfn.AGGREGATE(14,6,Scores!$E$2:$E$31/(Scores!$A$2:$A$31=$A10),1)-_xlfn.AGGREGATE(15,6,Scores!$E$2:$E$31/(Scores!$A$2:$A$31=$A10),1)</f>
        <v>3</v>
      </c>
      <c r="M10" s="2">
        <f>(D10+E10+F10)/C10</f>
        <v>1.3333333333333333</v>
      </c>
      <c r="N10">
        <f>_xlfn.RANK.EQ(M10,$M$2:$M$11)</f>
        <v>8</v>
      </c>
      <c r="O10" s="2">
        <f>(G10+H10+I10)/C10</f>
        <v>1.2307692307692308</v>
      </c>
      <c r="P10">
        <f>_xlfn.RANK.EQ(O10,$O$2:$O$11)</f>
        <v>8</v>
      </c>
      <c r="Q10" s="2">
        <f>IF(A10="F6",20,E10)</f>
        <v>5.333333333333333</v>
      </c>
      <c r="R10" s="2">
        <f>(D10+Q10+F10)/C10</f>
        <v>1.3333333333333333</v>
      </c>
      <c r="S10">
        <f>_xlfn.RANK.EQ(R10,$R$2:$R$11)</f>
        <v>8</v>
      </c>
    </row>
    <row r="11" spans="1:19" x14ac:dyDescent="0.25">
      <c r="A11" t="s">
        <v>17</v>
      </c>
      <c r="B11" t="s">
        <v>43</v>
      </c>
      <c r="C11">
        <v>8</v>
      </c>
      <c r="D11" s="1">
        <f>AVERAGEIFS(Scores!$C$2:$C$31,Scores!$A$2:$A$31,$A11)</f>
        <v>9.6666666666666661</v>
      </c>
      <c r="E11" s="1">
        <f>AVERAGEIFS(Scores!$D$2:$D$31,Scores!$A$2:$A$31,$A11)</f>
        <v>9.6666666666666661</v>
      </c>
      <c r="F11" s="1">
        <f>AVERAGEIFS(Scores!$E$2:$E$31,Scores!$A$2:$A$31,$A11)</f>
        <v>13</v>
      </c>
      <c r="G11" s="1">
        <f>_xlfn.AGGREGATE(17,6,Scores!$C$2:$C$31/(Scores!$A$2:$A$31=$A11),2)</f>
        <v>8</v>
      </c>
      <c r="H11" s="1">
        <f>_xlfn.AGGREGATE(17,6,Scores!$D$2:$D$31/(Scores!$A$2:$A$31=$A11),2)</f>
        <v>8</v>
      </c>
      <c r="I11" s="1">
        <f>_xlfn.AGGREGATE(17,6,Scores!$E$2:$E$31/(Scores!$A$2:$A$31=$A11),2)</f>
        <v>13</v>
      </c>
      <c r="J11">
        <f>_xlfn.AGGREGATE(14,6,Scores!$C$2:$C$31/(Scores!$A$2:$A$31=$A11),1)-_xlfn.AGGREGATE(15,6,Scores!$C$2:$C$31/(Scores!$A$2:$A$31=$A11),1)</f>
        <v>5</v>
      </c>
      <c r="K11">
        <f>_xlfn.AGGREGATE(14,6,Scores!$D$2:$D$31/(Scores!$A$2:$A$31=$A11),1)-_xlfn.AGGREGATE(15,6,Scores!$D$2:$D$31/(Scores!$A$2:$A$31=$A11),1)</f>
        <v>5</v>
      </c>
      <c r="L11">
        <f>_xlfn.AGGREGATE(14,6,Scores!$E$2:$E$31/(Scores!$A$2:$A$31=$A11),1)-_xlfn.AGGREGATE(15,6,Scores!$E$2:$E$31/(Scores!$A$2:$A$31=$A11),1)</f>
        <v>0</v>
      </c>
      <c r="M11" s="2">
        <f>(D11+E11+F11)/C11</f>
        <v>4.0416666666666661</v>
      </c>
      <c r="N11">
        <f>_xlfn.RANK.EQ(M11,$M$2:$M$11)</f>
        <v>2</v>
      </c>
      <c r="O11" s="2">
        <f>(G11+H11+I11)/C11</f>
        <v>3.625</v>
      </c>
      <c r="P11">
        <f>_xlfn.RANK.EQ(O11,$O$2:$O$11)</f>
        <v>2</v>
      </c>
      <c r="Q11" s="2">
        <f>IF(A11="F6",20,E11)</f>
        <v>9.6666666666666661</v>
      </c>
      <c r="R11" s="2">
        <f>(D11+Q11+F11)/C11</f>
        <v>4.0416666666666661</v>
      </c>
      <c r="S11">
        <f>_xlfn.RANK.EQ(R11,$R$2:$R$11)</f>
        <v>2</v>
      </c>
    </row>
    <row r="13" spans="1:19" x14ac:dyDescent="0.25">
      <c r="A13" t="s">
        <v>44</v>
      </c>
    </row>
  </sheetData>
  <conditionalFormatting sqref="J2:L1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A149-918E-4AF1-8E0C-1A56277D5433}">
  <dimension ref="A1:F21"/>
  <sheetViews>
    <sheetView workbookViewId="0"/>
  </sheetViews>
  <sheetFormatPr baseColWidth="10" defaultRowHeight="15" x14ac:dyDescent="0.25"/>
  <cols>
    <col min="1" max="1" width="60.5703125" bestFit="1" customWidth="1"/>
    <col min="2" max="2" width="7.85546875" bestFit="1" customWidth="1"/>
    <col min="3" max="3" width="6.5703125" bestFit="1" customWidth="1"/>
    <col min="4" max="4" width="12.85546875" bestFit="1" customWidth="1"/>
    <col min="5" max="5" width="28" bestFit="1" customWidth="1"/>
    <col min="6" max="6" width="13.140625" bestFit="1" customWidth="1"/>
  </cols>
  <sheetData>
    <row r="1" spans="1:6" s="4" customFormat="1" x14ac:dyDescent="0.25">
      <c r="A1" s="4" t="s">
        <v>45</v>
      </c>
      <c r="B1" s="4" t="s">
        <v>46</v>
      </c>
    </row>
    <row r="2" spans="1:6" x14ac:dyDescent="0.25">
      <c r="A2" t="s">
        <v>47</v>
      </c>
      <c r="B2">
        <v>22</v>
      </c>
      <c r="C2">
        <v>20</v>
      </c>
      <c r="D2">
        <v>23</v>
      </c>
      <c r="E2">
        <v>18</v>
      </c>
    </row>
    <row r="3" spans="1:6" x14ac:dyDescent="0.25">
      <c r="A3" t="s">
        <v>48</v>
      </c>
      <c r="B3">
        <f>AVERAGE(B2:E2)</f>
        <v>20.75</v>
      </c>
    </row>
    <row r="4" spans="1:6" x14ac:dyDescent="0.25">
      <c r="A4" t="s">
        <v>49</v>
      </c>
      <c r="B4">
        <v>5</v>
      </c>
    </row>
    <row r="5" spans="1:6" x14ac:dyDescent="0.25">
      <c r="A5" t="s">
        <v>50</v>
      </c>
      <c r="B5">
        <v>4</v>
      </c>
    </row>
    <row r="6" spans="1:6" x14ac:dyDescent="0.25">
      <c r="A6" t="s">
        <v>51</v>
      </c>
      <c r="B6">
        <v>6</v>
      </c>
    </row>
    <row r="7" spans="1:6" x14ac:dyDescent="0.25">
      <c r="A7" t="s">
        <v>52</v>
      </c>
      <c r="B7" s="3">
        <v>0.15</v>
      </c>
    </row>
    <row r="8" spans="1:6" x14ac:dyDescent="0.25">
      <c r="A8" t="s">
        <v>53</v>
      </c>
      <c r="B8" s="1">
        <f>B3*B4*B5/B6*(1-B7)</f>
        <v>58.791666666666671</v>
      </c>
    </row>
    <row r="9" spans="1:6" x14ac:dyDescent="0.25">
      <c r="A9" t="s">
        <v>54</v>
      </c>
    </row>
    <row r="11" spans="1:6" s="4" customFormat="1" x14ac:dyDescent="0.25">
      <c r="A11" s="4" t="s">
        <v>55</v>
      </c>
      <c r="B11" s="4" t="s">
        <v>0</v>
      </c>
      <c r="C11" s="4" t="s">
        <v>56</v>
      </c>
      <c r="D11" s="4" t="s">
        <v>57</v>
      </c>
      <c r="E11" s="4" t="s">
        <v>58</v>
      </c>
      <c r="F11" s="4" t="s">
        <v>59</v>
      </c>
    </row>
    <row r="12" spans="1:6" x14ac:dyDescent="0.25">
      <c r="A12" t="s">
        <v>60</v>
      </c>
      <c r="B12" t="s">
        <v>5</v>
      </c>
      <c r="C12">
        <v>5</v>
      </c>
      <c r="D12">
        <v>1</v>
      </c>
      <c r="E12">
        <v>1</v>
      </c>
      <c r="F12">
        <v>1</v>
      </c>
    </row>
    <row r="13" spans="1:6" x14ac:dyDescent="0.25">
      <c r="A13" t="s">
        <v>61</v>
      </c>
      <c r="B13" t="s">
        <v>5</v>
      </c>
      <c r="C13">
        <v>13</v>
      </c>
      <c r="D13">
        <v>1</v>
      </c>
      <c r="E13">
        <v>0</v>
      </c>
      <c r="F13">
        <v>1</v>
      </c>
    </row>
    <row r="14" spans="1:6" x14ac:dyDescent="0.25">
      <c r="A14" t="s">
        <v>62</v>
      </c>
      <c r="B14" t="s">
        <v>5</v>
      </c>
      <c r="C14">
        <v>16</v>
      </c>
      <c r="D14">
        <v>1</v>
      </c>
      <c r="E14">
        <v>0</v>
      </c>
      <c r="F14">
        <v>1</v>
      </c>
    </row>
    <row r="15" spans="1:6" x14ac:dyDescent="0.25">
      <c r="A15" t="s">
        <v>63</v>
      </c>
      <c r="B15" t="s">
        <v>9</v>
      </c>
      <c r="C15">
        <v>13</v>
      </c>
      <c r="D15">
        <v>1</v>
      </c>
      <c r="E15">
        <v>1</v>
      </c>
      <c r="F15">
        <v>1</v>
      </c>
    </row>
    <row r="16" spans="1:6" x14ac:dyDescent="0.25">
      <c r="A16" t="s">
        <v>42</v>
      </c>
      <c r="B16" t="s">
        <v>16</v>
      </c>
      <c r="C16">
        <v>13</v>
      </c>
      <c r="D16">
        <v>1</v>
      </c>
      <c r="E16">
        <v>1</v>
      </c>
      <c r="F16">
        <v>1</v>
      </c>
    </row>
    <row r="17" spans="1:6" x14ac:dyDescent="0.25">
      <c r="A17" t="s">
        <v>64</v>
      </c>
      <c r="B17" t="s">
        <v>17</v>
      </c>
      <c r="C17">
        <v>21</v>
      </c>
      <c r="D17">
        <v>1</v>
      </c>
      <c r="E17">
        <v>1</v>
      </c>
      <c r="F17">
        <v>0</v>
      </c>
    </row>
    <row r="19" spans="1:6" x14ac:dyDescent="0.25">
      <c r="A19" t="s">
        <v>65</v>
      </c>
      <c r="D19">
        <f>SUMPRODUCT($C$12:$C$17,D12:D17)</f>
        <v>81</v>
      </c>
      <c r="E19">
        <f>SUMPRODUCT($C$12:$C$17,E12:E17)</f>
        <v>52</v>
      </c>
      <c r="F19">
        <f>SUMPRODUCT($C$12:$C$17,F12:F17)</f>
        <v>60</v>
      </c>
    </row>
    <row r="20" spans="1:6" x14ac:dyDescent="0.25">
      <c r="A20" t="s">
        <v>66</v>
      </c>
      <c r="D20" s="3">
        <f>D19/$B$8</f>
        <v>1.3777462792345854</v>
      </c>
      <c r="E20" s="3">
        <f>E19/$B$8</f>
        <v>0.88447909284195603</v>
      </c>
      <c r="F20" s="3">
        <f>F19/$B$8</f>
        <v>1.0205527994330261</v>
      </c>
    </row>
    <row r="21" spans="1:6" x14ac:dyDescent="0.25">
      <c r="A21" t="s">
        <v>67</v>
      </c>
      <c r="D21" t="str">
        <f>IF(D20&lt;=1,"yes","no")</f>
        <v>no</v>
      </c>
      <c r="E21" t="str">
        <f>IF(E20&lt;=1,"yes","no")</f>
        <v>yes</v>
      </c>
      <c r="F21" t="str">
        <f>IF(F20&lt;=1,"yes","no")</f>
        <v>no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Scores</vt:lpstr>
      <vt:lpstr>WSJF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Herding</dc:creator>
  <cp:lastModifiedBy>Raphael Herding</cp:lastModifiedBy>
  <dcterms:created xsi:type="dcterms:W3CDTF">2026-10-08T16:48:33Z</dcterms:created>
  <dcterms:modified xsi:type="dcterms:W3CDTF">2026-10-08T16:48:36Z</dcterms:modified>
</cp:coreProperties>
</file>