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ochschule\Projects\Fastlane\DB Systel\agility master\challenges\challenge 12\solution\"/>
    </mc:Choice>
  </mc:AlternateContent>
  <xr:revisionPtr revIDLastSave="0" documentId="8_{D4FD1C5D-CC77-4257-886F-775619BB7796}" xr6:coauthVersionLast="36" xr6:coauthVersionMax="36" xr10:uidLastSave="{00000000-0000-0000-0000-000000000000}"/>
  <bookViews>
    <workbookView xWindow="0" yWindow="0" windowWidth="28800" windowHeight="16245" xr2:uid="{70A06AE7-DC98-4161-9D88-A7FD72F0D331}"/>
  </bookViews>
  <sheets>
    <sheet name="Program board" sheetId="1" r:id="rId1"/>
    <sheet name="Dependencies" sheetId="2" r:id="rId2"/>
    <sheet name="Risk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" i="3" l="1"/>
  <c r="E7" i="3"/>
  <c r="E6" i="3"/>
  <c r="E5" i="3"/>
  <c r="E4" i="3"/>
  <c r="E3" i="3"/>
  <c r="E2" i="3"/>
  <c r="H12" i="2"/>
  <c r="H11" i="2"/>
  <c r="H10" i="2"/>
  <c r="H9" i="2"/>
  <c r="H8" i="2"/>
  <c r="H7" i="2"/>
  <c r="H6" i="2"/>
  <c r="H5" i="2"/>
  <c r="H4" i="2"/>
  <c r="H3" i="2"/>
  <c r="H2" i="2"/>
</calcChain>
</file>

<file path=xl/sharedStrings.xml><?xml version="1.0" encoding="utf-8"?>
<sst xmlns="http://schemas.openxmlformats.org/spreadsheetml/2006/main" count="135" uniqueCount="99">
  <si>
    <t>Team</t>
  </si>
  <si>
    <t>Sprint 1</t>
  </si>
  <si>
    <t>Sprint 2</t>
  </si>
  <si>
    <t>Sprint 3</t>
  </si>
  <si>
    <t>Sprint 4</t>
  </si>
  <si>
    <t>Sprint 5</t>
  </si>
  <si>
    <t>External</t>
  </si>
  <si>
    <t>Signal</t>
  </si>
  <si>
    <t>SIG-P3 Outage alerting for the delay feed</t>
  </si>
  <si>
    <t>SIG-P2 Platform-change events at all major stations
SIG-P4 Peak-hour load test and tuning</t>
  </si>
  <si>
    <t>SIG-P1 Feed v2 in Switch's test environment</t>
  </si>
  <si>
    <t>Switch</t>
  </si>
  <si>
    <t>SWI-P1 Switch to delay feed v2</t>
  </si>
  <si>
    <t>SWI-P2 Walking times for the 50 largest stations</t>
  </si>
  <si>
    <t>SWI-P3 Connection-at-risk warnings</t>
  </si>
  <si>
    <t>SWI-P4 Alternative routes at night</t>
  </si>
  <si>
    <t>Concourse</t>
  </si>
  <si>
    <t>CON-P3 Fix duplicate push notifications</t>
  </si>
  <si>
    <t>CON-P1 Push notifications for all users</t>
  </si>
  <si>
    <t>CON-P2 Screen-reader support across the app</t>
  </si>
  <si>
    <t>CON-P4 App release 3.3</t>
  </si>
  <si>
    <t>Depot</t>
  </si>
  <si>
    <t>DEP-P1 Logging migration for Concourse and Switch
DEP-P4 Self-service request portal</t>
  </si>
  <si>
    <t>DEP-P2 Monitoring rules for the delay feed
DEP-P3 Peak-hour test environment
DEP-P5 Release pipeline update</t>
  </si>
  <si>
    <t>Outside the train</t>
  </si>
  <si>
    <t>Train data provider: peak-hour test data
Rail Ops: text templates, connection-at-risk criteria</t>
  </si>
  <si>
    <t>Red arrows on a physical board = the "late" and "missing" rows in the sheet Dependencies.</t>
  </si>
  <si>
    <t>#</t>
  </si>
  <si>
    <t>Needs (item)</t>
  </si>
  <si>
    <t>Needed by sprint</t>
  </si>
  <si>
    <t>From</t>
  </si>
  <si>
    <t>Delivered by (item)</t>
  </si>
  <si>
    <t>Delivered in sprint</t>
  </si>
  <si>
    <t>Status</t>
  </si>
  <si>
    <t>D1</t>
  </si>
  <si>
    <t>D2</t>
  </si>
  <si>
    <t>SIG-P3 Outage alerting</t>
  </si>
  <si>
    <t>DEP-P2 Monitoring rules for the delay feed</t>
  </si>
  <si>
    <t>D3</t>
  </si>
  <si>
    <t>Alert definitions: no item planned</t>
  </si>
  <si>
    <t>D4</t>
  </si>
  <si>
    <t>SIG-P4 Peak-hour load test</t>
  </si>
  <si>
    <t>DEP-P3 Peak-hour test environment</t>
  </si>
  <si>
    <t>D5</t>
  </si>
  <si>
    <t>Provider (outside the train)</t>
  </si>
  <si>
    <t>Peak-hour test data: no date</t>
  </si>
  <si>
    <t>D6</t>
  </si>
  <si>
    <t>SIG-P2 Platform-change events at all major stations</t>
  </si>
  <si>
    <t>D7</t>
  </si>
  <si>
    <t>Rail Ops (outside the train)</t>
  </si>
  <si>
    <t>Approved text templates: open</t>
  </si>
  <si>
    <t>D8</t>
  </si>
  <si>
    <t>Criteria for "at risk": open</t>
  </si>
  <si>
    <t>D9</t>
  </si>
  <si>
    <t>Event feed analysis: no item planned</t>
  </si>
  <si>
    <t>D10</t>
  </si>
  <si>
    <t>Station master data, delivered last PI</t>
  </si>
  <si>
    <t>D11</t>
  </si>
  <si>
    <t>DEP-P5 Release pipeline update</t>
  </si>
  <si>
    <t>Delivered in sprint 0 = already delivered in the last PI. An empty cell = nothing planned: "missing".</t>
  </si>
  <si>
    <t>Risk</t>
  </si>
  <si>
    <t>Probability (1-3)</t>
  </si>
  <si>
    <t>Impact (1-3)</t>
  </si>
  <si>
    <t>Score</t>
  </si>
  <si>
    <t>ROAM</t>
  </si>
  <si>
    <t>Owner</t>
  </si>
  <si>
    <t>Next step</t>
  </si>
  <si>
    <t>R1</t>
  </si>
  <si>
    <t>Alerting deadlock: Signal waits for Depot's monitoring rules, Depot waits for alert definitions that nobody planned (D2, D3)</t>
  </si>
  <si>
    <t>Owned</t>
  </si>
  <si>
    <t>Alex and Charlie</t>
  </si>
  <si>
    <t>Signal adds alert definitions to Sprint 1; joint session with Depot; Kim confirms ownership</t>
  </si>
  <si>
    <t>R2</t>
  </si>
  <si>
    <t>Peak-hour load test planned before the test environment exists and without test data (D4, D5)</t>
  </si>
  <si>
    <t>Mitigated</t>
  </si>
  <si>
    <t>Alex</t>
  </si>
  <si>
    <t>Move the load test to Sprint 4, or ask Depot for the environment in Sprint 2; test data escalation is with the steering committee</t>
  </si>
  <si>
    <t>R3</t>
  </si>
  <si>
    <t>Switch cannot start on feed v2 in Sprint 1 (D1)</t>
  </si>
  <si>
    <t>Sam</t>
  </si>
  <si>
    <t>Switch starts with walking times; feed v2 work moves to Sprint 3</t>
  </si>
  <si>
    <t>R4</t>
  </si>
  <si>
    <t>Push notifications need the platform-change events in the same sprint (D6)</t>
  </si>
  <si>
    <t>Jo with Alex</t>
  </si>
  <si>
    <t>Signal delivers early in Sprint 2; Concourse integrates at the end of the sprint</t>
  </si>
  <si>
    <t>R5</t>
  </si>
  <si>
    <t>Rail Ops has not approved the text templates or the at-risk criteria (D7, D8)</t>
  </si>
  <si>
    <t>Kim</t>
  </si>
  <si>
    <t>Ask Rail Ops for both before PI Planning</t>
  </si>
  <si>
    <t>R6</t>
  </si>
  <si>
    <t>Duplicate notifications may come from the event feed, but no Signal item is planned (D9)</t>
  </si>
  <si>
    <t>Alex with Jo</t>
  </si>
  <si>
    <t>Joint analysis in Sprint 1</t>
  </si>
  <si>
    <t>R7</t>
  </si>
  <si>
    <t>Release 3.3 needs the release plan at Depot two weeks ahead (D11)</t>
  </si>
  <si>
    <t>Accepted</t>
  </si>
  <si>
    <t>Jo</t>
  </si>
  <si>
    <t>Send the plan in Sprint 2</t>
  </si>
  <si>
    <t>ROAM: Resolved, Owned, Accepted, Mitigated. Kiro proposes probability and impact; people set ROAM and owner.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</si>
</sst>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0" xfId="0" applyFont="1"/>
  </cellXfs>
  <cellStyles count="1">
    <cellStyle name="Standard" xfId="0" builtinId="0"/>
  </cellStyles>
  <dxfs count="4">
    <dxf>
      <fill>
        <patternFill>
          <bgColor rgb="FFC6EFCE"/>
        </patternFill>
      </fill>
    </dxf>
    <dxf>
      <fill>
        <patternFill>
          <bgColor rgb="FFFFEB9C"/>
        </patternFill>
      </fill>
    </dxf>
    <dxf>
      <font>
        <b/>
        <i val="0"/>
      </font>
      <fill>
        <patternFill>
          <bgColor rgb="FFFFCCCC"/>
        </patternFill>
      </fill>
    </dxf>
    <dxf>
      <fill>
        <patternFill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0FCE7-601E-49DB-BB3A-4EDB8EECE29E}">
  <dimension ref="A1:G8"/>
  <sheetViews>
    <sheetView tabSelected="1" workbookViewId="0"/>
  </sheetViews>
  <sheetFormatPr baseColWidth="10" defaultRowHeight="15" x14ac:dyDescent="0.25"/>
  <cols>
    <col min="1" max="1" width="16.7109375" customWidth="1"/>
    <col min="2" max="7" width="30.7109375" customWidth="1"/>
  </cols>
  <sheetData>
    <row r="1" spans="1:7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150" x14ac:dyDescent="0.25">
      <c r="A2" s="2" t="s">
        <v>7</v>
      </c>
      <c r="B2" s="2" t="s">
        <v>8</v>
      </c>
      <c r="C2" s="2" t="s">
        <v>9</v>
      </c>
      <c r="D2" s="2" t="s">
        <v>10</v>
      </c>
      <c r="E2" s="2"/>
      <c r="F2" s="2"/>
      <c r="G2" s="2"/>
    </row>
    <row r="3" spans="1:7" ht="90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/>
      <c r="G3" s="2"/>
    </row>
    <row r="4" spans="1:7" ht="90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/>
      <c r="G4" s="2"/>
    </row>
    <row r="5" spans="1:7" ht="210" x14ac:dyDescent="0.25">
      <c r="A5" s="2" t="s">
        <v>21</v>
      </c>
      <c r="B5" s="2"/>
      <c r="C5" s="2" t="s">
        <v>22</v>
      </c>
      <c r="D5" s="2" t="s">
        <v>23</v>
      </c>
      <c r="E5" s="2"/>
      <c r="F5" s="2"/>
      <c r="G5" s="2"/>
    </row>
    <row r="6" spans="1:7" ht="150" x14ac:dyDescent="0.25">
      <c r="A6" s="2" t="s">
        <v>24</v>
      </c>
      <c r="B6" s="2"/>
      <c r="C6" s="2"/>
      <c r="D6" s="2"/>
      <c r="E6" s="2"/>
      <c r="F6" s="2"/>
      <c r="G6" s="2" t="s">
        <v>25</v>
      </c>
    </row>
    <row r="8" spans="1:7" x14ac:dyDescent="0.25">
      <c r="A8" t="s">
        <v>26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F5825-85AF-4A06-A217-6CBC0DA4AC37}">
  <dimension ref="A1:H14"/>
  <sheetViews>
    <sheetView workbookViewId="0"/>
  </sheetViews>
  <sheetFormatPr baseColWidth="10" defaultRowHeight="15" x14ac:dyDescent="0.25"/>
  <cols>
    <col min="1" max="1" width="89.28515625" bestFit="1" customWidth="1"/>
    <col min="2" max="2" width="43.85546875" bestFit="1" customWidth="1"/>
    <col min="3" max="3" width="10.28515625" bestFit="1" customWidth="1"/>
    <col min="4" max="4" width="16.42578125" bestFit="1" customWidth="1"/>
    <col min="5" max="5" width="25.42578125" bestFit="1" customWidth="1"/>
    <col min="6" max="6" width="47" bestFit="1" customWidth="1"/>
    <col min="7" max="7" width="17.5703125" bestFit="1" customWidth="1"/>
    <col min="8" max="8" width="11.28515625" bestFit="1" customWidth="1"/>
  </cols>
  <sheetData>
    <row r="1" spans="1:8" s="4" customFormat="1" x14ac:dyDescent="0.25">
      <c r="A1" s="4" t="s">
        <v>27</v>
      </c>
      <c r="B1" s="4" t="s">
        <v>28</v>
      </c>
      <c r="C1" s="4" t="s">
        <v>0</v>
      </c>
      <c r="D1" s="4" t="s">
        <v>29</v>
      </c>
      <c r="E1" s="4" t="s">
        <v>30</v>
      </c>
      <c r="F1" s="4" t="s">
        <v>31</v>
      </c>
      <c r="G1" s="4" t="s">
        <v>32</v>
      </c>
      <c r="H1" s="4" t="s">
        <v>33</v>
      </c>
    </row>
    <row r="2" spans="1:8" x14ac:dyDescent="0.25">
      <c r="A2" t="s">
        <v>34</v>
      </c>
      <c r="B2" t="s">
        <v>12</v>
      </c>
      <c r="C2" t="s">
        <v>11</v>
      </c>
      <c r="D2">
        <v>1</v>
      </c>
      <c r="E2" t="s">
        <v>7</v>
      </c>
      <c r="F2" t="s">
        <v>10</v>
      </c>
      <c r="G2">
        <v>3</v>
      </c>
      <c r="H2" t="str">
        <f>IF(G2="","missing",IF(G2&gt;D2,"late",IF(G2=D2,"same sprint","ok")))</f>
        <v>late</v>
      </c>
    </row>
    <row r="3" spans="1:8" x14ac:dyDescent="0.25">
      <c r="A3" t="s">
        <v>35</v>
      </c>
      <c r="B3" t="s">
        <v>36</v>
      </c>
      <c r="C3" t="s">
        <v>7</v>
      </c>
      <c r="D3">
        <v>1</v>
      </c>
      <c r="E3" t="s">
        <v>21</v>
      </c>
      <c r="F3" t="s">
        <v>37</v>
      </c>
      <c r="G3">
        <v>3</v>
      </c>
      <c r="H3" t="str">
        <f>IF(G3="","missing",IF(G3&gt;D3,"late",IF(G3=D3,"same sprint","ok")))</f>
        <v>late</v>
      </c>
    </row>
    <row r="4" spans="1:8" x14ac:dyDescent="0.25">
      <c r="A4" t="s">
        <v>38</v>
      </c>
      <c r="B4" t="s">
        <v>37</v>
      </c>
      <c r="C4" t="s">
        <v>21</v>
      </c>
      <c r="D4">
        <v>3</v>
      </c>
      <c r="E4" t="s">
        <v>7</v>
      </c>
      <c r="F4" t="s">
        <v>39</v>
      </c>
      <c r="H4" t="str">
        <f>IF(G4="","missing",IF(G4&gt;D4,"late",IF(G4=D4,"same sprint","ok")))</f>
        <v>missing</v>
      </c>
    </row>
    <row r="5" spans="1:8" x14ac:dyDescent="0.25">
      <c r="A5" t="s">
        <v>40</v>
      </c>
      <c r="B5" t="s">
        <v>41</v>
      </c>
      <c r="C5" t="s">
        <v>7</v>
      </c>
      <c r="D5">
        <v>2</v>
      </c>
      <c r="E5" t="s">
        <v>21</v>
      </c>
      <c r="F5" t="s">
        <v>42</v>
      </c>
      <c r="G5">
        <v>3</v>
      </c>
      <c r="H5" t="str">
        <f>IF(G5="","missing",IF(G5&gt;D5,"late",IF(G5=D5,"same sprint","ok")))</f>
        <v>late</v>
      </c>
    </row>
    <row r="6" spans="1:8" x14ac:dyDescent="0.25">
      <c r="A6" t="s">
        <v>43</v>
      </c>
      <c r="B6" t="s">
        <v>41</v>
      </c>
      <c r="C6" t="s">
        <v>7</v>
      </c>
      <c r="D6">
        <v>2</v>
      </c>
      <c r="E6" t="s">
        <v>44</v>
      </c>
      <c r="F6" t="s">
        <v>45</v>
      </c>
      <c r="H6" t="str">
        <f>IF(G6="","missing",IF(G6&gt;D6,"late",IF(G6=D6,"same sprint","ok")))</f>
        <v>missing</v>
      </c>
    </row>
    <row r="7" spans="1:8" x14ac:dyDescent="0.25">
      <c r="A7" t="s">
        <v>46</v>
      </c>
      <c r="B7" t="s">
        <v>18</v>
      </c>
      <c r="C7" t="s">
        <v>16</v>
      </c>
      <c r="D7">
        <v>2</v>
      </c>
      <c r="E7" t="s">
        <v>7</v>
      </c>
      <c r="F7" t="s">
        <v>47</v>
      </c>
      <c r="G7">
        <v>2</v>
      </c>
      <c r="H7" t="str">
        <f>IF(G7="","missing",IF(G7&gt;D7,"late",IF(G7=D7,"same sprint","ok")))</f>
        <v>same sprint</v>
      </c>
    </row>
    <row r="8" spans="1:8" x14ac:dyDescent="0.25">
      <c r="A8" t="s">
        <v>48</v>
      </c>
      <c r="B8" t="s">
        <v>18</v>
      </c>
      <c r="C8" t="s">
        <v>16</v>
      </c>
      <c r="D8">
        <v>2</v>
      </c>
      <c r="E8" t="s">
        <v>49</v>
      </c>
      <c r="F8" t="s">
        <v>50</v>
      </c>
      <c r="H8" t="str">
        <f>IF(G8="","missing",IF(G8&gt;D8,"late",IF(G8=D8,"same sprint","ok")))</f>
        <v>missing</v>
      </c>
    </row>
    <row r="9" spans="1:8" x14ac:dyDescent="0.25">
      <c r="A9" t="s">
        <v>51</v>
      </c>
      <c r="B9" t="s">
        <v>14</v>
      </c>
      <c r="C9" t="s">
        <v>11</v>
      </c>
      <c r="D9">
        <v>3</v>
      </c>
      <c r="E9" t="s">
        <v>49</v>
      </c>
      <c r="F9" t="s">
        <v>52</v>
      </c>
      <c r="H9" t="str">
        <f>IF(G9="","missing",IF(G9&gt;D9,"late",IF(G9=D9,"same sprint","ok")))</f>
        <v>missing</v>
      </c>
    </row>
    <row r="10" spans="1:8" x14ac:dyDescent="0.25">
      <c r="A10" t="s">
        <v>53</v>
      </c>
      <c r="B10" t="s">
        <v>17</v>
      </c>
      <c r="C10" t="s">
        <v>16</v>
      </c>
      <c r="D10">
        <v>1</v>
      </c>
      <c r="E10" t="s">
        <v>7</v>
      </c>
      <c r="F10" t="s">
        <v>54</v>
      </c>
      <c r="H10" t="str">
        <f>IF(G10="","missing",IF(G10&gt;D10,"late",IF(G10=D10,"same sprint","ok")))</f>
        <v>missing</v>
      </c>
    </row>
    <row r="11" spans="1:8" x14ac:dyDescent="0.25">
      <c r="A11" t="s">
        <v>55</v>
      </c>
      <c r="B11" t="s">
        <v>13</v>
      </c>
      <c r="C11" t="s">
        <v>11</v>
      </c>
      <c r="D11">
        <v>2</v>
      </c>
      <c r="E11" t="s">
        <v>7</v>
      </c>
      <c r="F11" t="s">
        <v>56</v>
      </c>
      <c r="G11">
        <v>0</v>
      </c>
      <c r="H11" t="str">
        <f>IF(G11="","missing",IF(G11&gt;D11,"late",IF(G11=D11,"same sprint","ok")))</f>
        <v>ok</v>
      </c>
    </row>
    <row r="12" spans="1:8" x14ac:dyDescent="0.25">
      <c r="A12" t="s">
        <v>57</v>
      </c>
      <c r="B12" t="s">
        <v>20</v>
      </c>
      <c r="C12" t="s">
        <v>16</v>
      </c>
      <c r="D12">
        <v>4</v>
      </c>
      <c r="E12" t="s">
        <v>21</v>
      </c>
      <c r="F12" t="s">
        <v>58</v>
      </c>
      <c r="G12">
        <v>3</v>
      </c>
      <c r="H12" t="str">
        <f>IF(G12="","missing",IF(G12&gt;D12,"late",IF(G12=D12,"same sprint","ok")))</f>
        <v>ok</v>
      </c>
    </row>
    <row r="14" spans="1:8" x14ac:dyDescent="0.25">
      <c r="A14" t="s">
        <v>59</v>
      </c>
    </row>
  </sheetData>
  <conditionalFormatting sqref="H2:H12">
    <cfRule type="cellIs" dxfId="3" priority="1" stopIfTrue="1" operator="equal">
      <formula>"late"</formula>
    </cfRule>
    <cfRule type="cellIs" dxfId="2" priority="2" stopIfTrue="1" operator="equal">
      <formula>"missing"</formula>
    </cfRule>
    <cfRule type="cellIs" dxfId="1" priority="3" stopIfTrue="1" operator="equal">
      <formula>"same sprint"</formula>
    </cfRule>
    <cfRule type="cellIs" dxfId="0" priority="4" stopIfTrue="1" operator="equal">
      <formula>"ok"</formula>
    </cfRule>
  </conditionalFormatting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4582D1-2F06-4BAB-AC6A-2C545A7804CE}">
  <dimension ref="A1:H10"/>
  <sheetViews>
    <sheetView workbookViewId="0"/>
  </sheetViews>
  <sheetFormatPr baseColWidth="10" defaultRowHeight="15" x14ac:dyDescent="0.25"/>
  <cols>
    <col min="2" max="2" width="60.7109375" customWidth="1"/>
    <col min="8" max="8" width="60.7109375" customWidth="1"/>
  </cols>
  <sheetData>
    <row r="1" spans="1:8" s="4" customFormat="1" x14ac:dyDescent="0.25">
      <c r="A1" s="4" t="s">
        <v>27</v>
      </c>
      <c r="B1" s="4" t="s">
        <v>60</v>
      </c>
      <c r="C1" s="4" t="s">
        <v>61</v>
      </c>
      <c r="D1" s="4" t="s">
        <v>62</v>
      </c>
      <c r="E1" s="4" t="s">
        <v>63</v>
      </c>
      <c r="F1" s="4" t="s">
        <v>64</v>
      </c>
      <c r="G1" s="4" t="s">
        <v>65</v>
      </c>
      <c r="H1" s="4" t="s">
        <v>66</v>
      </c>
    </row>
    <row r="2" spans="1:8" ht="210" x14ac:dyDescent="0.25">
      <c r="A2" t="s">
        <v>67</v>
      </c>
      <c r="B2" s="1" t="s">
        <v>68</v>
      </c>
      <c r="C2">
        <v>3</v>
      </c>
      <c r="D2">
        <v>3</v>
      </c>
      <c r="E2">
        <f>C2*D2</f>
        <v>9</v>
      </c>
      <c r="F2" t="s">
        <v>69</v>
      </c>
      <c r="G2" t="s">
        <v>70</v>
      </c>
      <c r="H2" s="1" t="s">
        <v>71</v>
      </c>
    </row>
    <row r="3" spans="1:8" ht="180" x14ac:dyDescent="0.25">
      <c r="A3" t="s">
        <v>72</v>
      </c>
      <c r="B3" s="1" t="s">
        <v>73</v>
      </c>
      <c r="C3">
        <v>3</v>
      </c>
      <c r="D3">
        <v>3</v>
      </c>
      <c r="E3">
        <f>C3*D3</f>
        <v>9</v>
      </c>
      <c r="F3" t="s">
        <v>74</v>
      </c>
      <c r="G3" t="s">
        <v>75</v>
      </c>
      <c r="H3" s="1" t="s">
        <v>76</v>
      </c>
    </row>
    <row r="4" spans="1:8" ht="105" x14ac:dyDescent="0.25">
      <c r="A4" t="s">
        <v>77</v>
      </c>
      <c r="B4" s="1" t="s">
        <v>78</v>
      </c>
      <c r="C4">
        <v>3</v>
      </c>
      <c r="D4">
        <v>2</v>
      </c>
      <c r="E4">
        <f>C4*D4</f>
        <v>6</v>
      </c>
      <c r="F4" t="s">
        <v>74</v>
      </c>
      <c r="G4" t="s">
        <v>79</v>
      </c>
      <c r="H4" s="1" t="s">
        <v>80</v>
      </c>
    </row>
    <row r="5" spans="1:8" ht="135" x14ac:dyDescent="0.25">
      <c r="A5" t="s">
        <v>81</v>
      </c>
      <c r="B5" s="1" t="s">
        <v>82</v>
      </c>
      <c r="C5">
        <v>2</v>
      </c>
      <c r="D5">
        <v>2</v>
      </c>
      <c r="E5">
        <f>C5*D5</f>
        <v>4</v>
      </c>
      <c r="F5" t="s">
        <v>74</v>
      </c>
      <c r="G5" t="s">
        <v>83</v>
      </c>
      <c r="H5" s="1" t="s">
        <v>84</v>
      </c>
    </row>
    <row r="6" spans="1:8" ht="120" x14ac:dyDescent="0.25">
      <c r="A6" t="s">
        <v>85</v>
      </c>
      <c r="B6" s="1" t="s">
        <v>86</v>
      </c>
      <c r="C6">
        <v>2</v>
      </c>
      <c r="D6">
        <v>2</v>
      </c>
      <c r="E6">
        <f>C6*D6</f>
        <v>4</v>
      </c>
      <c r="F6" t="s">
        <v>69</v>
      </c>
      <c r="G6" t="s">
        <v>87</v>
      </c>
      <c r="H6" s="1" t="s">
        <v>88</v>
      </c>
    </row>
    <row r="7" spans="1:8" ht="135" x14ac:dyDescent="0.25">
      <c r="A7" t="s">
        <v>89</v>
      </c>
      <c r="B7" s="1" t="s">
        <v>90</v>
      </c>
      <c r="C7">
        <v>2</v>
      </c>
      <c r="D7">
        <v>2</v>
      </c>
      <c r="E7">
        <f>C7*D7</f>
        <v>4</v>
      </c>
      <c r="F7" t="s">
        <v>69</v>
      </c>
      <c r="G7" t="s">
        <v>91</v>
      </c>
      <c r="H7" s="1" t="s">
        <v>92</v>
      </c>
    </row>
    <row r="8" spans="1:8" ht="120" x14ac:dyDescent="0.25">
      <c r="A8" t="s">
        <v>93</v>
      </c>
      <c r="B8" s="1" t="s">
        <v>94</v>
      </c>
      <c r="C8">
        <v>1</v>
      </c>
      <c r="D8">
        <v>2</v>
      </c>
      <c r="E8">
        <f>C8*D8</f>
        <v>2</v>
      </c>
      <c r="F8" t="s">
        <v>95</v>
      </c>
      <c r="G8" t="s">
        <v>96</v>
      </c>
      <c r="H8" s="1" t="s">
        <v>97</v>
      </c>
    </row>
    <row r="10" spans="1:8" x14ac:dyDescent="0.25">
      <c r="A10" t="s">
        <v>98</v>
      </c>
    </row>
  </sheetData>
  <conditionalFormatting sqref="E2:E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Program board</vt:lpstr>
      <vt:lpstr>Dependencies</vt:lpstr>
      <vt:lpstr>Risk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Herding</dc:creator>
  <cp:lastModifiedBy>Raphael Herding</cp:lastModifiedBy>
  <dcterms:created xsi:type="dcterms:W3CDTF">2026-10-08T16:51:47Z</dcterms:created>
  <dcterms:modified xsi:type="dcterms:W3CDTF">2026-10-08T16:51:49Z</dcterms:modified>
</cp:coreProperties>
</file>